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1" headerRowCount="1">
  <autoFilter ref="A1:AH31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table" Target="/xl/tables/table1.xm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teleamazonas.com/actualidad/noticias/internacional/cronologia-violencia-colombia-atentados-seguridad-129149/" TargetMode="External" Id="rId64"/><Relationship Type="http://schemas.openxmlformats.org/officeDocument/2006/relationships/hyperlink" Target="https://www.infobae.com/colombia/2026/09/02/atentados-con-explosivos-en-colombia-llegan-a-204-en-2026-tras-carro-bomba-en-los-patios/" TargetMode="External" Id="rId65"/><Relationship Type="http://schemas.openxmlformats.org/officeDocument/2006/relationships/hyperlink" Target="https://www.aljazeera.com/amp/news/2026/9/18/drone-attacks-by-colombian-armed-groups-more-than-double-in-early-2026" TargetMode="External" Id="rId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2026-10-21</t>
        </is>
      </c>
    </row>
    <row r="13">
      <c r="B13" s="3" t="inlineStr">
        <is>
          <t>Registros en la base</t>
        </is>
      </c>
      <c r="C13" s="4">
        <f>COUNTA(Incidentes!A2:A31)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COUNTA(Incidentes!$A$2:$A$31)</f>
        <v/>
      </c>
    </row>
    <row r="5">
      <c r="A5" s="6" t="inlineStr">
        <is>
          <t>Fallecidos</t>
        </is>
      </c>
      <c r="B5" s="11">
        <f>SUM(Incidentes!$U$2:$U$31)</f>
        <v/>
      </c>
    </row>
    <row r="6">
      <c r="A6" s="6" t="inlineStr">
        <is>
          <t xml:space="preserve">  de ellos, Fuerza Pública</t>
        </is>
      </c>
      <c r="B6" s="11">
        <f>SUM(Incidentes!$R$2:$R$31)</f>
        <v/>
      </c>
    </row>
    <row r="7">
      <c r="A7" s="6" t="inlineStr">
        <is>
          <t xml:space="preserve">  de ellos, civiles</t>
        </is>
      </c>
      <c r="B7" s="11">
        <f>SUM(Incidentes!$Q$2:$Q$31)</f>
        <v/>
      </c>
    </row>
    <row r="8">
      <c r="A8" s="6" t="inlineStr">
        <is>
          <t>Heridos</t>
        </is>
      </c>
      <c r="B8" s="11">
        <f>SUM(Incidentes!$V$2:$V$31)</f>
        <v/>
      </c>
    </row>
    <row r="9">
      <c r="A9" s="6" t="inlineStr">
        <is>
          <t xml:space="preserve">  de ellos, Fuerza Pública</t>
        </is>
      </c>
      <c r="B9" s="11">
        <f>SUM(Incidentes!$T$2:$T$31)</f>
        <v/>
      </c>
    </row>
    <row r="10">
      <c r="A10" s="6" t="inlineStr">
        <is>
          <t xml:space="preserve">  de ellos, civiles</t>
        </is>
      </c>
      <c r="B10" s="11">
        <f>SUM(Incidentes!$S$2:$S$31)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SUMPRODUCT(1/COUNTIF(Incidentes!$D$2:$D$31,Incidentes!$D$2:$D$31))</f>
        <v/>
      </c>
    </row>
    <row r="13">
      <c r="A13" s="6" t="inlineStr">
        <is>
          <t>Municipios con incidentes</t>
        </is>
      </c>
      <c r="B13" s="11">
        <f>SUMPRODUCT(1/COUNTIFS(Incidentes!$D$2:$D$31,Incidentes!$D$2:$D$31,Incidentes!$E$2:$E$31,Incidentes!$E$2:$E$31))</f>
        <v/>
      </c>
    </row>
    <row r="14">
      <c r="A14" s="6" t="inlineStr">
        <is>
          <t>Atribuidos al ELN (presunto)</t>
        </is>
      </c>
      <c r="B14" s="11">
        <f>COUNTIF(Incidentes!$O$2:$O$31,"ELN")</f>
        <v/>
      </c>
    </row>
    <row r="15">
      <c r="A15" s="6" t="inlineStr">
        <is>
          <t>Atribuidos a disidencias de las FARC (presunto)</t>
        </is>
      </c>
      <c r="B15" s="11">
        <f>COUNTIF(Incidentes!$O$2:$O$31,"Disidencias FARC")</f>
        <v/>
      </c>
    </row>
    <row r="16">
      <c r="A16" s="6" t="inlineStr">
        <is>
          <t>Otros actores</t>
        </is>
      </c>
      <c r="B16" s="11">
        <f>B4-B14-B15-COUNTIF(Incidentes!$O$2:$O$31,"No determinado")</f>
        <v/>
      </c>
    </row>
    <row r="17">
      <c r="A17" s="6" t="inlineStr">
        <is>
          <t>Autoría desconocida (atribución E)</t>
        </is>
      </c>
      <c r="B17" s="11">
        <f>COUNTIF(Incidentes!$P$2:$P$31,"E")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COUNTIF(Incidentes!$AG$2:$AG$31,1)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SUMPRODUCT(--(((Incidentes!$AG$2:$AG$31=1)+ISNUMBER(SEARCH("Preliminar",Incidentes!$AC$2:$AC$31))+ISNUMBER(SEARCH("investigación",Incidentes!$AC$2:$AC$31)))&gt;0))/B4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COUNTIF(Incidentes!$O$2:$O$31,A24)</f>
        <v/>
      </c>
      <c r="C24" s="6">
        <f>SUMIF(Incidentes!$O$2:$O$31,A24,Incidentes!$U$2:$U$31)</f>
        <v/>
      </c>
      <c r="D24" s="6">
        <f>SUMIF(Incidentes!$O$2:$O$31,A24,Incidentes!$V$2:$V$31)</f>
        <v/>
      </c>
    </row>
    <row r="25">
      <c r="A25" s="6" t="inlineStr">
        <is>
          <t>Disidencias FARC</t>
        </is>
      </c>
      <c r="B25" s="6">
        <f>COUNTIF(Incidentes!$O$2:$O$31,A25)</f>
        <v/>
      </c>
      <c r="C25" s="6">
        <f>SUMIF(Incidentes!$O$2:$O$31,A25,Incidentes!$U$2:$U$31)</f>
        <v/>
      </c>
      <c r="D25" s="6">
        <f>SUMIF(Incidentes!$O$2:$O$31,A25,Incidentes!$V$2:$V$31)</f>
        <v/>
      </c>
    </row>
    <row r="26">
      <c r="A26" s="6" t="inlineStr">
        <is>
          <t>Clan del Golfo / EGC</t>
        </is>
      </c>
      <c r="B26" s="6">
        <f>COUNTIF(Incidentes!$O$2:$O$31,A26)</f>
        <v/>
      </c>
      <c r="C26" s="6">
        <f>SUMIF(Incidentes!$O$2:$O$31,A26,Incidentes!$U$2:$U$31)</f>
        <v/>
      </c>
      <c r="D26" s="6">
        <f>SUMIF(Incidentes!$O$2:$O$31,A26,Incidentes!$V$2:$V$31)</f>
        <v/>
      </c>
    </row>
    <row r="27">
      <c r="A27" s="6" t="inlineStr">
        <is>
          <t>ACSN</t>
        </is>
      </c>
      <c r="B27" s="6">
        <f>COUNTIF(Incidentes!$O$2:$O$31,A27)</f>
        <v/>
      </c>
      <c r="C27" s="6">
        <f>SUMIF(Incidentes!$O$2:$O$31,A27,Incidentes!$U$2:$U$31)</f>
        <v/>
      </c>
      <c r="D27" s="6">
        <f>SUMIF(Incidentes!$O$2:$O$31,A27,Incidentes!$V$2:$V$31)</f>
        <v/>
      </c>
    </row>
    <row r="28">
      <c r="A28" s="6" t="inlineStr">
        <is>
          <t>Autor individual (capturado)</t>
        </is>
      </c>
      <c r="B28" s="6">
        <f>COUNTIF(Incidentes!$O$2:$O$31,A28)</f>
        <v/>
      </c>
      <c r="C28" s="6">
        <f>SUMIF(Incidentes!$O$2:$O$31,A28,Incidentes!$U$2:$U$31)</f>
        <v/>
      </c>
      <c r="D28" s="6">
        <f>SUMIF(Incidentes!$O$2:$O$31,A28,Incidentes!$V$2:$V$31)</f>
        <v/>
      </c>
    </row>
    <row r="29">
      <c r="A29" s="6" t="inlineStr">
        <is>
          <t>No determinado</t>
        </is>
      </c>
      <c r="B29" s="6">
        <f>COUNTIF(Incidentes!$O$2:$O$31,A29)</f>
        <v/>
      </c>
      <c r="C29" s="6">
        <f>SUMIF(Incidentes!$O$2:$O$31,A29,Incidentes!$U$2:$U$31)</f>
        <v/>
      </c>
      <c r="D29" s="6">
        <f>SUMIF(Incidentes!$O$2:$O$31,A29,Incidentes!$V$2:$V$31)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COUNTIF(Incidentes!$P$2:$P$31,"A")</f>
        <v/>
      </c>
    </row>
    <row r="34">
      <c r="A34" s="6" t="inlineStr">
        <is>
          <t>B · Oficial</t>
        </is>
      </c>
      <c r="B34" s="6">
        <f>COUNTIF(Incidentes!$P$2:$P$31,"B")</f>
        <v/>
      </c>
    </row>
    <row r="35">
      <c r="A35" s="6" t="inlineStr">
        <is>
          <t>C · Reivindicada</t>
        </is>
      </c>
      <c r="B35" s="6">
        <f>COUNTIF(Incidentes!$P$2:$P$31,"C")</f>
        <v/>
      </c>
    </row>
    <row r="36">
      <c r="A36" s="6" t="inlineStr">
        <is>
          <t>D · Hipótesis periodística o de terceros</t>
        </is>
      </c>
      <c r="B36" s="6">
        <f>COUNTIF(Incidentes!$P$2:$P$31,"D")</f>
        <v/>
      </c>
    </row>
    <row r="37">
      <c r="A37" s="6" t="inlineStr">
        <is>
          <t>E · Desconocida</t>
        </is>
      </c>
      <c r="B37" s="6">
        <f>COUNTIF(Incidentes!$P$2:$P$31,"E")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COUNTIF(Incidentes!$D$2:$D$31,A41)</f>
        <v/>
      </c>
      <c r="C41" s="6">
        <f>SUMIF(Incidentes!$D$2:$D$31,A41,Incidentes!$U$2:$U$31)</f>
        <v/>
      </c>
      <c r="D41" s="6">
        <f>SUMIF(Incidentes!$D$2:$D$31,A41,Incidentes!$V$2:$V$31)</f>
        <v/>
      </c>
      <c r="E41" s="6">
        <f>COUNTIFS(Incidentes!$D$2:$D$31,A41,Incidentes!$P$2:$P$31,"E")</f>
        <v/>
      </c>
      <c r="F41" s="13">
        <f>E41/B41</f>
        <v/>
      </c>
    </row>
    <row r="42">
      <c r="A42" s="6" t="inlineStr">
        <is>
          <t>Cauca</t>
        </is>
      </c>
      <c r="B42" s="6">
        <f>COUNTIF(Incidentes!$D$2:$D$31,A42)</f>
        <v/>
      </c>
      <c r="C42" s="6">
        <f>SUMIF(Incidentes!$D$2:$D$31,A42,Incidentes!$U$2:$U$31)</f>
        <v/>
      </c>
      <c r="D42" s="6">
        <f>SUMIF(Incidentes!$D$2:$D$31,A42,Incidentes!$V$2:$V$31)</f>
        <v/>
      </c>
      <c r="E42" s="6">
        <f>COUNTIFS(Incidentes!$D$2:$D$31,A42,Incidentes!$P$2:$P$31,"E")</f>
        <v/>
      </c>
      <c r="F42" s="13">
        <f>E42/B42</f>
        <v/>
      </c>
    </row>
    <row r="43">
      <c r="A43" s="6" t="inlineStr">
        <is>
          <t>Cesar</t>
        </is>
      </c>
      <c r="B43" s="6">
        <f>COUNTIF(Incidentes!$D$2:$D$31,A43)</f>
        <v/>
      </c>
      <c r="C43" s="6">
        <f>SUMIF(Incidentes!$D$2:$D$31,A43,Incidentes!$U$2:$U$31)</f>
        <v/>
      </c>
      <c r="D43" s="6">
        <f>SUMIF(Incidentes!$D$2:$D$31,A43,Incidentes!$V$2:$V$31)</f>
        <v/>
      </c>
      <c r="E43" s="6">
        <f>COUNTIFS(Incidentes!$D$2:$D$31,A43,Incidentes!$P$2:$P$31,"E")</f>
        <v/>
      </c>
      <c r="F43" s="13">
        <f>E43/B43</f>
        <v/>
      </c>
    </row>
    <row r="44">
      <c r="A44" s="6" t="inlineStr">
        <is>
          <t>Chocó</t>
        </is>
      </c>
      <c r="B44" s="6">
        <f>COUNTIF(Incidentes!$D$2:$D$31,A44)</f>
        <v/>
      </c>
      <c r="C44" s="6">
        <f>SUMIF(Incidentes!$D$2:$D$31,A44,Incidentes!$U$2:$U$31)</f>
        <v/>
      </c>
      <c r="D44" s="6">
        <f>SUMIF(Incidentes!$D$2:$D$31,A44,Incidentes!$V$2:$V$31)</f>
        <v/>
      </c>
      <c r="E44" s="6">
        <f>COUNTIFS(Incidentes!$D$2:$D$31,A44,Incidentes!$P$2:$P$31,"E")</f>
        <v/>
      </c>
      <c r="F44" s="13">
        <f>E44/B44</f>
        <v/>
      </c>
    </row>
    <row r="45">
      <c r="A45" s="6" t="inlineStr">
        <is>
          <t>Huila</t>
        </is>
      </c>
      <c r="B45" s="6">
        <f>COUNTIF(Incidentes!$D$2:$D$31,A45)</f>
        <v/>
      </c>
      <c r="C45" s="6">
        <f>SUMIF(Incidentes!$D$2:$D$31,A45,Incidentes!$U$2:$U$31)</f>
        <v/>
      </c>
      <c r="D45" s="6">
        <f>SUMIF(Incidentes!$D$2:$D$31,A45,Incidentes!$V$2:$V$31)</f>
        <v/>
      </c>
      <c r="E45" s="6">
        <f>COUNTIFS(Incidentes!$D$2:$D$31,A45,Incidentes!$P$2:$P$31,"E")</f>
        <v/>
      </c>
      <c r="F45" s="13">
        <f>E45/B45</f>
        <v/>
      </c>
    </row>
    <row r="46">
      <c r="A46" s="6" t="inlineStr">
        <is>
          <t>La Guajira</t>
        </is>
      </c>
      <c r="B46" s="6">
        <f>COUNTIF(Incidentes!$D$2:$D$31,A46)</f>
        <v/>
      </c>
      <c r="C46" s="6">
        <f>SUMIF(Incidentes!$D$2:$D$31,A46,Incidentes!$U$2:$U$31)</f>
        <v/>
      </c>
      <c r="D46" s="6">
        <f>SUMIF(Incidentes!$D$2:$D$31,A46,Incidentes!$V$2:$V$31)</f>
        <v/>
      </c>
      <c r="E46" s="6">
        <f>COUNTIFS(Incidentes!$D$2:$D$31,A46,Incidentes!$P$2:$P$31,"E")</f>
        <v/>
      </c>
      <c r="F46" s="13">
        <f>E46/B46</f>
        <v/>
      </c>
    </row>
    <row r="47">
      <c r="A47" s="6" t="inlineStr">
        <is>
          <t>Magdalena</t>
        </is>
      </c>
      <c r="B47" s="6">
        <f>COUNTIF(Incidentes!$D$2:$D$31,A47)</f>
        <v/>
      </c>
      <c r="C47" s="6">
        <f>SUMIF(Incidentes!$D$2:$D$31,A47,Incidentes!$U$2:$U$31)</f>
        <v/>
      </c>
      <c r="D47" s="6">
        <f>SUMIF(Incidentes!$D$2:$D$31,A47,Incidentes!$V$2:$V$31)</f>
        <v/>
      </c>
      <c r="E47" s="6">
        <f>COUNTIFS(Incidentes!$D$2:$D$31,A47,Incidentes!$P$2:$P$31,"E")</f>
        <v/>
      </c>
      <c r="F47" s="13">
        <f>E47/B47</f>
        <v/>
      </c>
    </row>
    <row r="48">
      <c r="A48" s="6" t="inlineStr">
        <is>
          <t>Nariño</t>
        </is>
      </c>
      <c r="B48" s="6">
        <f>COUNTIF(Incidentes!$D$2:$D$31,A48)</f>
        <v/>
      </c>
      <c r="C48" s="6">
        <f>SUMIF(Incidentes!$D$2:$D$31,A48,Incidentes!$U$2:$U$31)</f>
        <v/>
      </c>
      <c r="D48" s="6">
        <f>SUMIF(Incidentes!$D$2:$D$31,A48,Incidentes!$V$2:$V$31)</f>
        <v/>
      </c>
      <c r="E48" s="6">
        <f>COUNTIFS(Incidentes!$D$2:$D$31,A48,Incidentes!$P$2:$P$31,"E")</f>
        <v/>
      </c>
      <c r="F48" s="13">
        <f>E48/B48</f>
        <v/>
      </c>
    </row>
    <row r="49">
      <c r="A49" s="6" t="inlineStr">
        <is>
          <t>Norte de Santander</t>
        </is>
      </c>
      <c r="B49" s="6">
        <f>COUNTIF(Incidentes!$D$2:$D$31,A49)</f>
        <v/>
      </c>
      <c r="C49" s="6">
        <f>SUMIF(Incidentes!$D$2:$D$31,A49,Incidentes!$U$2:$U$31)</f>
        <v/>
      </c>
      <c r="D49" s="6">
        <f>SUMIF(Incidentes!$D$2:$D$31,A49,Incidentes!$V$2:$V$31)</f>
        <v/>
      </c>
      <c r="E49" s="6">
        <f>COUNTIFS(Incidentes!$D$2:$D$31,A49,Incidentes!$P$2:$P$31,"E")</f>
        <v/>
      </c>
      <c r="F49" s="13">
        <f>E49/B49</f>
        <v/>
      </c>
    </row>
    <row r="50">
      <c r="A50" s="6" t="inlineStr">
        <is>
          <t>Valle del Cauca</t>
        </is>
      </c>
      <c r="B50" s="6">
        <f>COUNTIF(Incidentes!$D$2:$D$31,A50)</f>
        <v/>
      </c>
      <c r="C50" s="6">
        <f>SUMIF(Incidentes!$D$2:$D$31,A50,Incidentes!$U$2:$U$31)</f>
        <v/>
      </c>
      <c r="D50" s="6">
        <f>SUMIF(Incidentes!$D$2:$D$31,A50,Incidentes!$V$2:$V$31)</f>
        <v/>
      </c>
      <c r="E50" s="6">
        <f>COUNTIFS(Incidentes!$D$2:$D$31,A50,Incidentes!$P$2:$P$31,"E")</f>
        <v/>
      </c>
      <c r="F50" s="13">
        <f>E50/B50</f>
        <v/>
      </c>
    </row>
    <row r="53">
      <c r="A53" s="5" t="inlineStr">
        <is>
          <t>Por mes</t>
        </is>
      </c>
      <c r="B53" s="5" t="inlineStr">
        <is>
          <t>Desde</t>
        </is>
      </c>
      <c r="C53" s="5" t="inlineStr">
        <is>
          <t>Hasta (excl.)</t>
        </is>
      </c>
      <c r="D53" s="5" t="inlineStr">
        <is>
          <t>Incidentes</t>
        </is>
      </c>
      <c r="E53" s="5" t="inlineStr">
        <is>
          <t>Fallecidos</t>
        </is>
      </c>
      <c r="F53" s="5" t="inlineStr">
        <is>
          <t>Heridos</t>
        </is>
      </c>
    </row>
    <row r="54">
      <c r="A54" s="6" t="inlineStr">
        <is>
          <t>agosto (desde el 7)</t>
        </is>
      </c>
      <c r="B54" s="7" t="n">
        <v>46241</v>
      </c>
      <c r="C54" s="7" t="n">
        <v>46266</v>
      </c>
      <c r="D54" s="6">
        <f>COUNTIFS(Incidentes!$B$2:$B$31,"&gt;="&amp;B54,Incidentes!$B$2:$B$31,"&lt;"&amp;C54)</f>
        <v/>
      </c>
      <c r="E54" s="6">
        <f>SUMIFS(Incidentes!$U$2:$U$31,Incidentes!$B$2:$B$31,"&gt;="&amp;B54,Incidentes!$B$2:$B$31,"&lt;"&amp;C54)</f>
        <v/>
      </c>
      <c r="F54" s="6">
        <f>SUMIFS(Incidentes!$V$2:$V$31,Incidentes!$B$2:$B$31,"&gt;="&amp;B54,Incidentes!$B$2:$B$31,"&lt;"&amp;C54)</f>
        <v/>
      </c>
    </row>
    <row r="55">
      <c r="A55" s="6" t="inlineStr">
        <is>
          <t>septiembre</t>
        </is>
      </c>
      <c r="B55" s="7" t="n">
        <v>46266</v>
      </c>
      <c r="C55" s="7" t="n">
        <v>46296</v>
      </c>
      <c r="D55" s="6">
        <f>COUNTIFS(Incidentes!$B$2:$B$31,"&gt;="&amp;B55,Incidentes!$B$2:$B$31,"&lt;"&amp;C55)</f>
        <v/>
      </c>
      <c r="E55" s="6">
        <f>SUMIFS(Incidentes!$U$2:$U$31,Incidentes!$B$2:$B$31,"&gt;="&amp;B55,Incidentes!$B$2:$B$31,"&lt;"&amp;C55)</f>
        <v/>
      </c>
      <c r="F55" s="6">
        <f>SUMIFS(Incidentes!$V$2:$V$31,Incidentes!$B$2:$B$31,"&gt;="&amp;B55,Incidentes!$B$2:$B$31,"&lt;"&amp;C55)</f>
        <v/>
      </c>
    </row>
    <row r="56">
      <c r="A56" s="6" t="inlineStr">
        <is>
          <t>octubre</t>
        </is>
      </c>
      <c r="B56" s="7" t="n">
        <v>46296</v>
      </c>
      <c r="C56" s="7" t="n">
        <v>46327</v>
      </c>
      <c r="D56" s="6">
        <f>COUNTIFS(Incidentes!$B$2:$B$31,"&gt;="&amp;B56,Incidentes!$B$2:$B$31,"&lt;"&amp;C56)</f>
        <v/>
      </c>
      <c r="E56" s="6">
        <f>SUMIFS(Incidentes!$U$2:$U$31,Incidentes!$B$2:$B$31,"&gt;="&amp;B56,Incidentes!$B$2:$B$31,"&lt;"&amp;C56)</f>
        <v/>
      </c>
      <c r="F56" s="6">
        <f>SUMIFS(Incidentes!$V$2:$V$31,Incidentes!$B$2:$B$31,"&gt;="&amp;B56,Incidentes!$B$2:$B$31,"&lt;"&amp;C56)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6">
      <c r="A66" s="3" t="inlineStr">
        <is>
          <t>Contexto agregado (no se suma a la base)</t>
        </is>
      </c>
    </row>
    <row r="67">
      <c r="A67" s="14" t="inlineStr">
        <is>
          <t>Fuente</t>
        </is>
      </c>
      <c r="B67" s="14" t="inlineStr">
        <is>
          <t>Cifra agregada descrita</t>
        </is>
      </c>
      <c r="C67" s="14" t="inlineStr">
        <is>
          <t>URL</t>
        </is>
      </c>
    </row>
    <row r="68">
      <c r="A68" s="8" t="inlineStr">
        <is>
          <t>Balance de la fuerza pública citado por El Tiempo (vía Teleamazonas)</t>
        </is>
      </c>
      <c r="B68" s="8" t="inlineStr">
        <is>
          <t>292 ataques con drones en 2026 con corte al 15-sep-2026, frente a 277 en todo 2025. Fuente secundaria; no se verificó el balance original.</t>
        </is>
      </c>
      <c r="C68" s="10" t="inlineStr">
        <is>
          <t>https://www.teleamazonas.com/actualidad/noticias/internacional/cronologia-violencia-colombia-atentados-seguridad-129149/</t>
        </is>
      </c>
    </row>
    <row r="69">
      <c r="A69" s="8" t="inlineStr">
        <is>
          <t>El Tiempo, citado por Infobae (2-sep-2026)</t>
        </is>
      </c>
      <c r="B69" s="8" t="inlineStr">
        <is>
          <t>Al menos 204 atentados con explosivos en 2026: 174 hasta el 30-jul y al menos 30 en agosto; al menos 75 atribuidos al ELN.</t>
        </is>
      </c>
      <c r="C69" s="10" t="inlineStr">
        <is>
          <t>https://www.infobae.com/colombia/2026/09/02/atentados-con-explosivos-en-colombia-llegan-a-204-en-2026-tras-carro-bomba-en-los-patios/</t>
        </is>
      </c>
    </row>
    <row r="70">
      <c r="A70" s="8" t="inlineStr">
        <is>
          <t>Defensoría del Pueblo, citada por Al Jazeera (18-sep-2026)</t>
        </is>
      </c>
      <c r="B70" s="8" t="inlineStr">
        <is>
          <t>Los ataques con drones contra la Fuerza Pública aumentaron 146 % entre enero y mayo de 2026 frente al mismo periodo de 2025.</t>
        </is>
      </c>
      <c r="C70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C68" r:id="rId64"/>
    <hyperlink xmlns:r="http://schemas.openxmlformats.org/officeDocument/2006/relationships" ref="C69" r:id="rId65"/>
    <hyperlink xmlns:r="http://schemas.openxmlformats.org/officeDocument/2006/relationships" ref="C70" r:id="rId6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2026-10-22T00:20:17Z</dcterms:created>
  <dcterms:modified xmlns:dcterms="http://purl.org/dc/terms/" xmlns:xsi="http://www.w3.org/2001/XMLSchema-instance" xsi:type="dcterms:W3CDTF">2026-10-22T00:20:17Z</dcterms:modified>
</cp:coreProperties>
</file>