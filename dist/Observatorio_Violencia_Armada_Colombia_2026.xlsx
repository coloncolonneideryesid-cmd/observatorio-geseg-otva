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Excluidos y pendientes" sheetId="5" state="visible" r:id="rId5"/>
    <sheet xmlns:r="http://schemas.openxmlformats.org/officeDocument/2006/relationships" name="Metodología" sheetId="6" state="visible" r:id="rId6"/>
    <sheet xmlns:r="http://schemas.openxmlformats.org/officeDocument/2006/relationships" name="Diccio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D1F3C"/>
      <sz val="16"/>
    </font>
    <font>
      <name val="Arial"/>
      <color rgb="0046556D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53BB"/>
      <sz val="10"/>
      <u val="single"/>
    </font>
  </fonts>
  <fills count="3">
    <fill>
      <patternFill/>
    </fill>
    <fill>
      <patternFill patternType="gray125"/>
    </fill>
    <fill>
      <patternFill patternType="solid">
        <fgColor rgb="000D1F3C"/>
      </patternFill>
    </fill>
  </fills>
  <borders count="2">
    <border>
      <left/>
      <right/>
      <top/>
      <bottom/>
      <diagonal/>
    </border>
    <border>
      <left style="thin">
        <color rgb="00D6DDE8"/>
      </left>
      <right style="thin">
        <color rgb="00D6DDE8"/>
      </right>
      <top style="thin">
        <color rgb="00D6DDE8"/>
      </top>
      <bottom style="thin">
        <color rgb="00D6DD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0" borderId="1" applyAlignment="1" pivotButton="0" quotePrefix="0" xfId="0">
      <alignment vertical="top" wrapText="1"/>
    </xf>
    <xf numFmtId="2" fontId="4" fillId="0" borderId="1" pivotButton="0" quotePrefix="0" xfId="0"/>
    <xf numFmtId="0" fontId="6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9" fontId="4" fillId="0" borderId="1" pivotButton="0" quotePrefix="0" xfId="0"/>
    <xf numFmtId="0" fontId="5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09550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ncidentes" displayName="Incidentes" ref="A1:AH35" headerRowCount="1">
  <autoFilter ref="A1:AH35"/>
  <tableColumns count="34">
    <tableColumn id="1" name="Id"/>
    <tableColumn id="2" name="Fecha"/>
    <tableColumn id="3" name="Hora"/>
    <tableColumn id="4" name="Departamento"/>
    <tableColumn id="5" name="Municipio"/>
    <tableColumn id="6" name="Lugar"/>
    <tableColumn id="7" name="Lat"/>
    <tableColumn id="8" name="Lon"/>
    <tableColumn id="9" name="Precisión coordenada"/>
    <tableColumn id="10" name="Hecho"/>
    <tableColumn id="11" name="Modalidad"/>
    <tableColumn id="12" name="Objetivo"/>
    <tableColumn id="13" name="Clase (analítica)"/>
    <tableColumn id="14" name="Presunto autor"/>
    <tableColumn id="15" name="Grupo"/>
    <tableColumn id="16" name="Atribución"/>
    <tableColumn id="17" name="Muertos civiles"/>
    <tableColumn id="18" name="Muertos FP"/>
    <tableColumn id="19" name="Heridos civiles"/>
    <tableColumn id="20" name="Heridos FP"/>
    <tableColumn id="21" name="Total muertos"/>
    <tableColumn id="22" name="Total heridos"/>
    <tableColumn id="23" name="Nota de víctimas"/>
    <tableColumn id="24" name="Evidencia"/>
    <tableColumn id="25" name="Daños"/>
    <tableColumn id="26" name="Económico"/>
    <tableColumn id="27" name="Desplazamiento"/>
    <tableColumn id="28" name="Servicios"/>
    <tableColumn id="29" name="Estado"/>
    <tableColumn id="30" name="Fuente 1"/>
    <tableColumn id="31" name="Fuente 2"/>
    <tableColumn id="32" name="Fuente 3"/>
    <tableColumn id="33" name="N.º fuentes"/>
    <tableColumn id="34" name="Última verificació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luradio.com/nacion/atacan-con-explosivos-la-alcaldia-de-teruel-huila-hay-un-herido-so35" TargetMode="External" Id="rId1"/><Relationship Type="http://schemas.openxmlformats.org/officeDocument/2006/relationships/hyperlink" Target="https://www.aljazeera.com/news/2026/8/8/car-bomb-attack-rattles-colombia-after-inauguration-of-hardline-president" TargetMode="External" Id="rId2"/><Relationship Type="http://schemas.openxmlformats.org/officeDocument/2006/relationships/hyperlink" Target="https://www.teleamazonas.com/actualidad/noticias/internacional/cronologia-violencia-colombia-atentados-seguridad-129149/" TargetMode="External" Id="rId3"/><Relationship Type="http://schemas.openxmlformats.org/officeDocument/2006/relationships/hyperlink" Target="https://www.latribuna.hn/2026/08/08/policia-muere-en-ataque-con-explosivos-lanzados-desde-drones-en-colombia/" TargetMode="External" Id="rId4"/><Relationship Type="http://schemas.openxmlformats.org/officeDocument/2006/relationships/hyperlink" Target="https://www.minuto30.com/?p=1715502" TargetMode="External" Id="rId5"/><Relationship Type="http://schemas.openxmlformats.org/officeDocument/2006/relationships/hyperlink" Target="https://www.teleamazonas.com/actualidad/noticias/internacional/cronologia-violencia-colombia-atentados-seguridad-129149/" TargetMode="External" Id="rId6"/><Relationship Type="http://schemas.openxmlformats.org/officeDocument/2006/relationships/hyperlink" Target="https://www.infobae.com/america/agencias/2026/08/16/al-menos-un-militar-muerto-y-otros-cinco-heridos-en-un-ataque-del-eln-en-el-noreste-de-colombia/" TargetMode="External" Id="rId7"/><Relationship Type="http://schemas.openxmlformats.org/officeDocument/2006/relationships/hyperlink" Target="https://www.teleamazonas.com/actualidad/noticias/internacional/10-hechos-violentos-colombia-atentados-espriella-129149/" TargetMode="External" Id="rId8"/><Relationship Type="http://schemas.openxmlformats.org/officeDocument/2006/relationships/hyperlink" Target="https://www.noticiasrcn.com/colombia/lanzan-granadas-contra-batallon-en-pelaya-cesar-1054870" TargetMode="External" Id="rId9"/><Relationship Type="http://schemas.openxmlformats.org/officeDocument/2006/relationships/hyperlink" Target="https://lapatilla.com/2026/08/27/al-menos-dos-soldados-fueron-heridos-por-ataque-con-explosivos-en-el-norte-de-colombia/" TargetMode="External" Id="rId10"/><Relationship Type="http://schemas.openxmlformats.org/officeDocument/2006/relationships/hyperlink" Target="https://www.teleamazonas.com/actualidad/noticias/internacional/cronologia-violencia-colombia-atentados-seguridad-129149/" TargetMode="External" Id="rId11"/><Relationship Type="http://schemas.openxmlformats.org/officeDocument/2006/relationships/hyperlink" Target="https://www.noticiasrcn.com/colombia/ataque-con-drones-contra-estacion-en-pailitas-dejo-tres-policias-heridos-se-le-atribuye-al-eln-1055649" TargetMode="External" Id="rId12"/><Relationship Type="http://schemas.openxmlformats.org/officeDocument/2006/relationships/hyperlink" Target="https://www.eluniversal.com.co/sucesos/2026/08/30/video-atacan-con-drones-estacion-de-policia-en-pailitas-cesar-3-uniformados-heridos/" TargetMode="External" Id="rId13"/><Relationship Type="http://schemas.openxmlformats.org/officeDocument/2006/relationships/hyperlink" Target="https://www.infobae.com/colombia/2026/09/02/atentados-con-explosivos-en-colombia-llegan-a-204-en-2026-tras-carro-bomba-en-los-patios/" TargetMode="External" Id="rId14"/><Relationship Type="http://schemas.openxmlformats.org/officeDocument/2006/relationships/hyperlink" Target="https://www.emol.com/noticias/Internacional/2026/09/01/1210192/colombia-atentado-auto-bomba.html" TargetMode="External" Id="rId15"/><Relationship Type="http://schemas.openxmlformats.org/officeDocument/2006/relationships/hyperlink" Target="https://www.teleamazonas.com/actualidad/noticias/internacional/cronologia-violencia-colombia-atentados-seguridad-129149/" TargetMode="External" Id="rId16"/><Relationship Type="http://schemas.openxmlformats.org/officeDocument/2006/relationships/hyperlink" Target="https://www.vanguardia.com/colombia/2026/09/02/nuevo-ataque-con-drones-golpeo-estacion-de-policia-en-el-burro-cesar/" TargetMode="External" Id="rId17"/><Relationship Type="http://schemas.openxmlformats.org/officeDocument/2006/relationships/hyperlink" Target="https://www.eluniversal.com.co/colombia/2026/09/05/eln-ataco-base-militar-en-ocana-con-drones-cargados-de-explosivos/" TargetMode="External" Id="rId18"/><Relationship Type="http://schemas.openxmlformats.org/officeDocument/2006/relationships/hyperlink" Target="https://www.minuto30.com/amp/muere-jhon-carlos-soldado-ataque-ocana/1718094/" TargetMode="External" Id="rId19"/><Relationship Type="http://schemas.openxmlformats.org/officeDocument/2006/relationships/hyperlink" Target="https://www.noticiasrcn.com/colombia/ataque-con-drones-del-eln-en-ocana-deja-dos-militares-muertos-y-cinco-heridos-1057923" TargetMode="External" Id="rId20"/><Relationship Type="http://schemas.openxmlformats.org/officeDocument/2006/relationships/hyperlink" Target="https://es.euronews.com/2026/09/23/un-ataque-con-explosivos-descarrila-un-tren-de-cerrejon-en-el-norte-de-colombia" TargetMode="External" Id="rId21"/><Relationship Type="http://schemas.openxmlformats.org/officeDocument/2006/relationships/hyperlink" Target="https://www.teleamazonas.com/actualidad/noticias/internacional/atentado-explosivos-tren-cerrejon-militarizacion-santa-marta-128719/" TargetMode="External" Id="rId22"/><Relationship Type="http://schemas.openxmlformats.org/officeDocument/2006/relationships/hyperlink" Target="https://cambiocolombia.com/pais/articulo/2026/9/paro-armado-santa-marta-primeras-horas-ataques-vehiculos-quemados-respuesta-autoridades" TargetMode="External" Id="rId23"/><Relationship Type="http://schemas.openxmlformats.org/officeDocument/2006/relationships/hyperlink" Target="https://cambiocolombia.com/pais/articulo/2026/9/hay-paro-armado-en-santa-marta-las-autoridades-lo-niegan-pero-se-reportan-situaciones-de-orden-publico/" TargetMode="External" Id="rId24"/><Relationship Type="http://schemas.openxmlformats.org/officeDocument/2006/relationships/hyperlink" Target="https://www.teleamazonas.com/actualidad/noticias/internacional/cronologia-violencia-colombia-atentados-seguridad-129149/" TargetMode="External" Id="rId25"/><Relationship Type="http://schemas.openxmlformats.org/officeDocument/2006/relationships/hyperlink" Target="https://minuto60.com/judicial/estacion-policia-fue-atacada-drones-explosivos-cesar/16594" TargetMode="External" Id="rId26"/><Relationship Type="http://schemas.openxmlformats.org/officeDocument/2006/relationships/hyperlink" Target="https://www.teleamazonas.com/actualidad/noticias/internacional/cronologia-violencia-colombia-atentados-seguridad-129149/" TargetMode="External" Id="rId27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28"/><Relationship Type="http://schemas.openxmlformats.org/officeDocument/2006/relationships/hyperlink" Target="https://www.asuntoslegales.com.co/actualidad/gobernadora-del-choco-alerta-por-11-ataques-con-drones-en-los-ultimos-tres-dias-4494689" TargetMode="External" Id="rId29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30"/><Relationship Type="http://schemas.openxmlformats.org/officeDocument/2006/relationships/hyperlink" Target="https://www.semana.com/nacion/articulo/gobernadora-del-choco-alerta-por-ola-de-ataques-con-drones-11-en-tres-dias/202631/" TargetMode="External" Id="rId31"/><Relationship Type="http://schemas.openxmlformats.org/officeDocument/2006/relationships/hyperlink" Target="https://www.vanguardia.com/colombia/2026/10/01/atencion-atacan-con-drones-y-explosivos-estacion-de-policia-de-santa-rita-de-iro-choco/" TargetMode="External" Id="rId32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33"/><Relationship Type="http://schemas.openxmlformats.org/officeDocument/2006/relationships/hyperlink" Target="https://www.vanguardia.com/colombia/2026/10/03/asi-fue-el-ataque-con-drones-que-dejo-un-soldado-muerto-y-otro-herido-en-huila/" TargetMode="External" Id="rId34"/><Relationship Type="http://schemas.openxmlformats.org/officeDocument/2006/relationships/hyperlink" Target="https://cambiocolombia.com/conflicto-armado-en-colombia/articulo/2026/10/disidencias-de-mordisco-atacan-con-drones-a-militares-en-zona-rural-de-neiva-un-soldado-muerto-y-otro-herido" TargetMode="External" Id="rId35"/><Relationship Type="http://schemas.openxmlformats.org/officeDocument/2006/relationships/hyperlink" Target="https://www.vanguardia.com/colombia/2026/10/05/nueva-noche-de-tension-en-aguachica-tras-ataque-con-explosivos-a-estacion-de-policia/" TargetMode="External" Id="rId36"/><Relationship Type="http://schemas.openxmlformats.org/officeDocument/2006/relationships/hyperlink" Target="https://www.elpais.com.co/judicial/asointermedias-rechaza-nuevo-ataque-con-drones-contra-la-estacion-de-policia-de-aguachica-cesar-0506.html" TargetMode="External" Id="rId37"/><Relationship Type="http://schemas.openxmlformats.org/officeDocument/2006/relationships/hyperlink" Target="https://www.publimetro.co/noticias/2026/10/07/terror-en-popayan-atentado-con-explosivos-deja-al-menos-a-dos-policias-gravemente-heridos/" TargetMode="External" Id="rId38"/><Relationship Type="http://schemas.openxmlformats.org/officeDocument/2006/relationships/hyperlink" Target="https://www.semana.com/nacion/cali/articulo/video-muestra-el-momento-en-el-que-disidentes-atacan-a-disparos-a-policias-en-valle-del-cauca-un-uniformado-fue-asesinado/202640/" TargetMode="External" Id="rId39"/><Relationship Type="http://schemas.openxmlformats.org/officeDocument/2006/relationships/hyperlink" Target="https://90minutos.co/judicial/reportan-ataque-drones-zona-rural-jamundi-valle-cauca-13-10-2026/" TargetMode="External" Id="rId40"/><Relationship Type="http://schemas.openxmlformats.org/officeDocument/2006/relationships/hyperlink" Target="https://www.infobae.com/colombia/2026/10/15/ataque-con-drones-atribuido-al-eln-en-san-jose-del-palmar-choco-dejo-un-saldo-de-nueve-militares-heridos/" TargetMode="External" Id="rId41"/><Relationship Type="http://schemas.openxmlformats.org/officeDocument/2006/relationships/hyperlink" Target="https://www.noticiasrcn.com/colombia/nueve-soldados-resultaron-heridos-por-ataque-con-drones-en-san-jose-del-palmar-choco-1071590" TargetMode="External" Id="rId42"/><Relationship Type="http://schemas.openxmlformats.org/officeDocument/2006/relationships/hyperlink" Target="https://www.defensoria.gov.co/web/guest/w/llamamos-a-proteger-a-la-poblacion-civil-tras-ataque-con-drones-que-dejo-nueve-militares-heridos-en-san-jose-del-palmar-choco" TargetMode="External" Id="rId43"/><Relationship Type="http://schemas.openxmlformats.org/officeDocument/2006/relationships/hyperlink" Target="https://www.infobae.com/colombia/2026/10/16/alejandro-eder-entrego-nuevos-detalles-del-atentado-que-dejo-cinco-policias-heridos-en-el-oriente-de-cali-capturado-tendria-nexos-con-las-disidencias-de-las-farc/" TargetMode="External" Id="rId44"/><Relationship Type="http://schemas.openxmlformats.org/officeDocument/2006/relationships/hyperlink" Target="https://www.qhubocali.com/judiciales/explosion-sacudio-a-cali-cuatro-policias-y-una-civil-resultaron-heridos/" TargetMode="External" Id="rId45"/><Relationship Type="http://schemas.openxmlformats.org/officeDocument/2006/relationships/hyperlink" Target="https://www.eluniversal.com.co/sucesos/2026/10/15/video-violento-ataque-con-drones-a-estacion-de-policia-en-palermo-huila/" TargetMode="External" Id="rId46"/><Relationship Type="http://schemas.openxmlformats.org/officeDocument/2006/relationships/hyperlink" Target="https://www.bluradio.com/nacion/ataque-con-explosivos-lanzados-desde-drones-deja-dos-policias-heridos-en-palermo-huila-pr30" TargetMode="External" Id="rId47"/><Relationship Type="http://schemas.openxmlformats.org/officeDocument/2006/relationships/hyperlink" Target="https://www.defensoria.gov.co/web/guest/w/comunidades-del-occidente-del-departamento-del-huila-estan-en-riesgo-tras-reciente-escalada-de-violencia" TargetMode="External" Id="rId48"/><Relationship Type="http://schemas.openxmlformats.org/officeDocument/2006/relationships/hyperlink" Target="https://www.vanguardia.com/colombia/2026/10/16/ataque-con-drones-en-teruel-huila-dejo-un-policia-herido-y-afecto-instalaciones-oficiales/" TargetMode="External" Id="rId49"/><Relationship Type="http://schemas.openxmlformats.org/officeDocument/2006/relationships/hyperlink" Target="https://www.lafm.com.co/orden-publico/ataque-drones-teruel-huila-414206" TargetMode="External" Id="rId50"/><Relationship Type="http://schemas.openxmlformats.org/officeDocument/2006/relationships/hyperlink" Target="https://www.infobae.com/colombia/2026/10/17/ataque-con-explosivos-dejo-tres-uniformados-lesionados-en-cali/" TargetMode="External" Id="rId51"/><Relationship Type="http://schemas.openxmlformats.org/officeDocument/2006/relationships/hyperlink" Target="https://www.elheraldo.co/colombia/2026/10/17/detonacion-de-artefactos-explosivos-en-zona-rural-de-cali-deja-tres-policias-heridos/" TargetMode="External" Id="rId52"/><Relationship Type="http://schemas.openxmlformats.org/officeDocument/2006/relationships/hyperlink" Target="https://www.eluniversal.com.co/colombia/2026/10/17/explosivos-contra-la-policia-en-cali-cuatro-uniformados-heridos/" TargetMode="External" Id="rId53"/><Relationship Type="http://schemas.openxmlformats.org/officeDocument/2006/relationships/hyperlink" Target="https://www.elheraldo.co/colombia/2026/10/21/ataque-con-drones-contra-estacion-de-policia-en-pelaya-cesar-deja-seis-uniformados-heridos/" TargetMode="External" Id="rId54"/><Relationship Type="http://schemas.openxmlformats.org/officeDocument/2006/relationships/hyperlink" Target="https://www.infobae.com/colombia/2026/10/21/nuevo-ataque-con-drones-contra-una-estacion-de-policia-en-colombia-dejo-seis-uniformados-heridos-autoridades-ofrecieron-millonaria-recompensa/" TargetMode="External" Id="rId55"/><Relationship Type="http://schemas.openxmlformats.org/officeDocument/2006/relationships/hyperlink" Target="https://www.semana.com/nacion/articulo/familia-por-poco-muere-tras-ataque-con-explosivos-del-eln-en-arauca-ejercito-denuncio-a-la-guerrilla-ante-organismos-internacionales/202617/" TargetMode="External" Id="rId56"/><Relationship Type="http://schemas.openxmlformats.org/officeDocument/2006/relationships/hyperlink" Target="https://www.infobae.com/colombia/2026/10/04/atacan-con-explosivos-y-rafagas-de-fusil-una-estacion-de-policia-en-narino-esto-se-sabe/" TargetMode="External" Id="rId57"/><Relationship Type="http://schemas.openxmlformats.org/officeDocument/2006/relationships/hyperlink" Target="https://citytv.eltiempo.com/noticias/nacional/ataque-con-drones-y-fusiles-en-narino-obligo-evacuar-decenas-de-familias_95932" TargetMode="External" Id="rId58"/><Relationship Type="http://schemas.openxmlformats.org/officeDocument/2006/relationships/hyperlink" Target="https://www.lafm.com.co/orden-publico/colombia-narino-el-penol-hostigamiento-armado-drones-explosivos-412937" TargetMode="External" Id="rId59"/><Relationship Type="http://schemas.openxmlformats.org/officeDocument/2006/relationships/hyperlink" Target="https://www.semana.com/nacion/articulo/soldado-resulto-herido-en-un-ataque-con-explosivos-atribuido-preliminarmente-al-eln-en-arauca/202645/" TargetMode="External" Id="rId60"/><Relationship Type="http://schemas.openxmlformats.org/officeDocument/2006/relationships/hyperlink" Target="https://www.eluniversal.com.co/sucesos/2026/10/21/no-resistio-murio-daniel-felipe-pinzon-el-soldado-herido-en-ataque-con-explosivos/" TargetMode="External" Id="rId61"/><Relationship Type="http://schemas.openxmlformats.org/officeDocument/2006/relationships/hyperlink" Target="https://www.elheraldo.co/colombia/2026/10/18/un-soldado-resulto-herido-en-ataque-del-eln-con-explosivos-en-arauca/" TargetMode="External" Id="rId62"/><Relationship Type="http://schemas.openxmlformats.org/officeDocument/2006/relationships/hyperlink" Target="https://www.defensoria.gov.co/-/enfrentamientos-armados-en-la-subregion-del-san-juan-en-el-departamento-de-choco-generan-desplazamiento-y-confinamiento" TargetMode="External" Id="rId63"/><Relationship Type="http://schemas.openxmlformats.org/officeDocument/2006/relationships/hyperlink" Target="https://www.diariodelsur.com.co/noticias/ataque-con-explosivos-en-dagua-deja-cuatro-civiles-heridos" TargetMode="External" Id="rId64"/><Relationship Type="http://schemas.openxmlformats.org/officeDocument/2006/relationships/hyperlink" Target="https://www.semana.com/nacion/articulo/ataque-con-explosivos-aereos-contra-la-policia-en-dagua-enciende-las-alarmas-en-el-valle-del-cauca/202608/" TargetMode="External" Id="rId65"/><Relationship Type="http://schemas.openxmlformats.org/officeDocument/2006/relationships/hyperlink" Target="https://www.infobae.com/colombia/2026/10/23/explosion-de-un-presunto-carro-bomba-en-peaje-de-casanare-deja-cuatro-heridos-investigan-atentado/" TargetMode="External" Id="rId66"/><Relationship Type="http://schemas.openxmlformats.org/officeDocument/2006/relationships/hyperlink" Target="https://www.noticiasrcn.com/colombia/artefacto-explosivo-detono-al-paso-de-patrulla-en-puerto-santander-1074715" TargetMode="External" Id="rId67"/><Relationship Type="http://schemas.openxmlformats.org/officeDocument/2006/relationships/hyperlink" Target="https://www.elpais.com.co/judicial/un-infante-de-marina-murio-y-cuatro-militares-resultaron-heridos-tras-ataque-con-explosivos-en-zona-rural-de-guapi-2343.html" TargetMode="External" Id="rId68"/><Relationship Type="http://schemas.openxmlformats.org/officeDocument/2006/relationships/hyperlink" Target="https://www.eluniversal.com.co/sucesos/2026/10/24/edwin-andres-vargas-el-infante-de-marina-que-murio-en-ataque-con-dron/" TargetMode="External" Id="rId69"/><Relationship Type="http://schemas.openxmlformats.org/officeDocument/2006/relationships/hyperlink" Target="https://www.noticiasrcn.com/colombia/artefacto-explosivo-detono-al-paso-de-patrulla-en-puerto-santander-1074715" TargetMode="External" Id="rId70"/><Relationship Type="http://schemas.openxmlformats.org/officeDocument/2006/relationships/table" Target="/xl/tables/table1.xml" Id="rId7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luradio.com/nacion/atacan-con-explosivos-la-alcaldia-de-teruel-huila-hay-un-herido-so35" TargetMode="External" Id="rId1"/><Relationship Type="http://schemas.openxmlformats.org/officeDocument/2006/relationships/hyperlink" Target="https://www.aljazeera.com/news/2026/8/8/car-bomb-attack-rattles-colombia-after-inauguration-of-hardline-president" TargetMode="External" Id="rId2"/><Relationship Type="http://schemas.openxmlformats.org/officeDocument/2006/relationships/hyperlink" Target="https://www.teleamazonas.com/actualidad/noticias/internacional/cronologia-violencia-colombia-atentados-seguridad-129149/" TargetMode="External" Id="rId3"/><Relationship Type="http://schemas.openxmlformats.org/officeDocument/2006/relationships/hyperlink" Target="https://www.latribuna.hn/2026/08/08/policia-muere-en-ataque-con-explosivos-lanzados-desde-drones-en-colombia/" TargetMode="External" Id="rId4"/><Relationship Type="http://schemas.openxmlformats.org/officeDocument/2006/relationships/hyperlink" Target="https://www.minuto30.com/?p=1715502" TargetMode="External" Id="rId5"/><Relationship Type="http://schemas.openxmlformats.org/officeDocument/2006/relationships/hyperlink" Target="https://www.teleamazonas.com/actualidad/noticias/internacional/cronologia-violencia-colombia-atentados-seguridad-129149/" TargetMode="External" Id="rId6"/><Relationship Type="http://schemas.openxmlformats.org/officeDocument/2006/relationships/hyperlink" Target="https://www.infobae.com/america/agencias/2026/08/16/al-menos-un-militar-muerto-y-otros-cinco-heridos-en-un-ataque-del-eln-en-el-noreste-de-colombia/" TargetMode="External" Id="rId7"/><Relationship Type="http://schemas.openxmlformats.org/officeDocument/2006/relationships/hyperlink" Target="https://www.teleamazonas.com/actualidad/noticias/internacional/10-hechos-violentos-colombia-atentados-espriella-129149/" TargetMode="External" Id="rId8"/><Relationship Type="http://schemas.openxmlformats.org/officeDocument/2006/relationships/hyperlink" Target="https://www.noticiasrcn.com/colombia/lanzan-granadas-contra-batallon-en-pelaya-cesar-1054870" TargetMode="External" Id="rId9"/><Relationship Type="http://schemas.openxmlformats.org/officeDocument/2006/relationships/hyperlink" Target="https://lapatilla.com/2026/08/27/al-menos-dos-soldados-fueron-heridos-por-ataque-con-explosivos-en-el-norte-de-colombia/" TargetMode="External" Id="rId10"/><Relationship Type="http://schemas.openxmlformats.org/officeDocument/2006/relationships/hyperlink" Target="https://www.teleamazonas.com/actualidad/noticias/internacional/cronologia-violencia-colombia-atentados-seguridad-129149/" TargetMode="External" Id="rId11"/><Relationship Type="http://schemas.openxmlformats.org/officeDocument/2006/relationships/hyperlink" Target="https://www.noticiasrcn.com/colombia/ataque-con-drones-contra-estacion-en-pailitas-dejo-tres-policias-heridos-se-le-atribuye-al-eln-1055649" TargetMode="External" Id="rId12"/><Relationship Type="http://schemas.openxmlformats.org/officeDocument/2006/relationships/hyperlink" Target="https://www.eluniversal.com.co/sucesos/2026/08/30/video-atacan-con-drones-estacion-de-policia-en-pailitas-cesar-3-uniformados-heridos/" TargetMode="External" Id="rId13"/><Relationship Type="http://schemas.openxmlformats.org/officeDocument/2006/relationships/hyperlink" Target="https://www.infobae.com/colombia/2026/09/02/atentados-con-explosivos-en-colombia-llegan-a-204-en-2026-tras-carro-bomba-en-los-patios/" TargetMode="External" Id="rId14"/><Relationship Type="http://schemas.openxmlformats.org/officeDocument/2006/relationships/hyperlink" Target="https://www.emol.com/noticias/Internacional/2026/09/01/1210192/colombia-atentado-auto-bomba.html" TargetMode="External" Id="rId15"/><Relationship Type="http://schemas.openxmlformats.org/officeDocument/2006/relationships/hyperlink" Target="https://www.teleamazonas.com/actualidad/noticias/internacional/cronologia-violencia-colombia-atentados-seguridad-129149/" TargetMode="External" Id="rId16"/><Relationship Type="http://schemas.openxmlformats.org/officeDocument/2006/relationships/hyperlink" Target="https://www.vanguardia.com/colombia/2026/09/02/nuevo-ataque-con-drones-golpeo-estacion-de-policia-en-el-burro-cesar/" TargetMode="External" Id="rId17"/><Relationship Type="http://schemas.openxmlformats.org/officeDocument/2006/relationships/hyperlink" Target="https://www.eluniversal.com.co/colombia/2026/09/05/eln-ataco-base-militar-en-ocana-con-drones-cargados-de-explosivos/" TargetMode="External" Id="rId18"/><Relationship Type="http://schemas.openxmlformats.org/officeDocument/2006/relationships/hyperlink" Target="https://www.minuto30.com/amp/muere-jhon-carlos-soldado-ataque-ocana/1718094/" TargetMode="External" Id="rId19"/><Relationship Type="http://schemas.openxmlformats.org/officeDocument/2006/relationships/hyperlink" Target="https://www.noticiasrcn.com/colombia/ataque-con-drones-del-eln-en-ocana-deja-dos-militares-muertos-y-cinco-heridos-1057923" TargetMode="External" Id="rId20"/><Relationship Type="http://schemas.openxmlformats.org/officeDocument/2006/relationships/hyperlink" Target="https://es.euronews.com/2026/09/23/un-ataque-con-explosivos-descarrila-un-tren-de-cerrejon-en-el-norte-de-colombia" TargetMode="External" Id="rId21"/><Relationship Type="http://schemas.openxmlformats.org/officeDocument/2006/relationships/hyperlink" Target="https://www.teleamazonas.com/actualidad/noticias/internacional/atentado-explosivos-tren-cerrejon-militarizacion-santa-marta-128719/" TargetMode="External" Id="rId22"/><Relationship Type="http://schemas.openxmlformats.org/officeDocument/2006/relationships/hyperlink" Target="https://cambiocolombia.com/pais/articulo/2026/9/paro-armado-santa-marta-primeras-horas-ataques-vehiculos-quemados-respuesta-autoridades" TargetMode="External" Id="rId23"/><Relationship Type="http://schemas.openxmlformats.org/officeDocument/2006/relationships/hyperlink" Target="https://cambiocolombia.com/pais/articulo/2026/9/hay-paro-armado-en-santa-marta-las-autoridades-lo-niegan-pero-se-reportan-situaciones-de-orden-publico/" TargetMode="External" Id="rId24"/><Relationship Type="http://schemas.openxmlformats.org/officeDocument/2006/relationships/hyperlink" Target="https://www.teleamazonas.com/actualidad/noticias/internacional/cronologia-violencia-colombia-atentados-seguridad-129149/" TargetMode="External" Id="rId25"/><Relationship Type="http://schemas.openxmlformats.org/officeDocument/2006/relationships/hyperlink" Target="https://minuto60.com/judicial/estacion-policia-fue-atacada-drones-explosivos-cesar/16594" TargetMode="External" Id="rId26"/><Relationship Type="http://schemas.openxmlformats.org/officeDocument/2006/relationships/hyperlink" Target="https://www.teleamazonas.com/actualidad/noticias/internacional/cronologia-violencia-colombia-atentados-seguridad-129149/" TargetMode="External" Id="rId27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28"/><Relationship Type="http://schemas.openxmlformats.org/officeDocument/2006/relationships/hyperlink" Target="https://www.asuntoslegales.com.co/actualidad/gobernadora-del-choco-alerta-por-11-ataques-con-drones-en-los-ultimos-tres-dias-4494689" TargetMode="External" Id="rId29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30"/><Relationship Type="http://schemas.openxmlformats.org/officeDocument/2006/relationships/hyperlink" Target="https://www.semana.com/nacion/articulo/gobernadora-del-choco-alerta-por-ola-de-ataques-con-drones-11-en-tres-dias/202631/" TargetMode="External" Id="rId31"/><Relationship Type="http://schemas.openxmlformats.org/officeDocument/2006/relationships/hyperlink" Target="https://www.vanguardia.com/colombia/2026/10/01/atencion-atacan-con-drones-y-explosivos-estacion-de-policia-de-santa-rita-de-iro-choco/" TargetMode="External" Id="rId32"/><Relationship Type="http://schemas.openxmlformats.org/officeDocument/2006/relationships/hyperlink" Target="https://www.vanguardia.com/colombia/2026/10/02/tres-dias-de-ataques-con-drones-en-choco-esto-se-sabe-de-la-ofensiva-contra-la-fuerza-publica/" TargetMode="External" Id="rId33"/><Relationship Type="http://schemas.openxmlformats.org/officeDocument/2006/relationships/hyperlink" Target="https://www.vanguardia.com/colombia/2026/10/03/asi-fue-el-ataque-con-drones-que-dejo-un-soldado-muerto-y-otro-herido-en-huila/" TargetMode="External" Id="rId34"/><Relationship Type="http://schemas.openxmlformats.org/officeDocument/2006/relationships/hyperlink" Target="https://cambiocolombia.com/conflicto-armado-en-colombia/articulo/2026/10/disidencias-de-mordisco-atacan-con-drones-a-militares-en-zona-rural-de-neiva-un-soldado-muerto-y-otro-herido" TargetMode="External" Id="rId35"/><Relationship Type="http://schemas.openxmlformats.org/officeDocument/2006/relationships/hyperlink" Target="https://www.vanguardia.com/colombia/2026/10/05/nueva-noche-de-tension-en-aguachica-tras-ataque-con-explosivos-a-estacion-de-policia/" TargetMode="External" Id="rId36"/><Relationship Type="http://schemas.openxmlformats.org/officeDocument/2006/relationships/hyperlink" Target="https://www.elpais.com.co/judicial/asointermedias-rechaza-nuevo-ataque-con-drones-contra-la-estacion-de-policia-de-aguachica-cesar-0506.html" TargetMode="External" Id="rId37"/><Relationship Type="http://schemas.openxmlformats.org/officeDocument/2006/relationships/hyperlink" Target="https://www.publimetro.co/noticias/2026/10/07/terror-en-popayan-atentado-con-explosivos-deja-al-menos-a-dos-policias-gravemente-heridos/" TargetMode="External" Id="rId38"/><Relationship Type="http://schemas.openxmlformats.org/officeDocument/2006/relationships/hyperlink" Target="https://www.semana.com/nacion/cali/articulo/video-muestra-el-momento-en-el-que-disidentes-atacan-a-disparos-a-policias-en-valle-del-cauca-un-uniformado-fue-asesinado/202640/" TargetMode="External" Id="rId39"/><Relationship Type="http://schemas.openxmlformats.org/officeDocument/2006/relationships/hyperlink" Target="https://90minutos.co/judicial/reportan-ataque-drones-zona-rural-jamundi-valle-cauca-13-10-2026/" TargetMode="External" Id="rId40"/><Relationship Type="http://schemas.openxmlformats.org/officeDocument/2006/relationships/hyperlink" Target="https://www.infobae.com/colombia/2026/10/15/ataque-con-drones-atribuido-al-eln-en-san-jose-del-palmar-choco-dejo-un-saldo-de-nueve-militares-heridos/" TargetMode="External" Id="rId41"/><Relationship Type="http://schemas.openxmlformats.org/officeDocument/2006/relationships/hyperlink" Target="https://www.noticiasrcn.com/colombia/nueve-soldados-resultaron-heridos-por-ataque-con-drones-en-san-jose-del-palmar-choco-1071590" TargetMode="External" Id="rId42"/><Relationship Type="http://schemas.openxmlformats.org/officeDocument/2006/relationships/hyperlink" Target="https://www.defensoria.gov.co/web/guest/w/llamamos-a-proteger-a-la-poblacion-civil-tras-ataque-con-drones-que-dejo-nueve-militares-heridos-en-san-jose-del-palmar-choco" TargetMode="External" Id="rId43"/><Relationship Type="http://schemas.openxmlformats.org/officeDocument/2006/relationships/hyperlink" Target="https://www.infobae.com/colombia/2026/10/16/alejandro-eder-entrego-nuevos-detalles-del-atentado-que-dejo-cinco-policias-heridos-en-el-oriente-de-cali-capturado-tendria-nexos-con-las-disidencias-de-las-farc/" TargetMode="External" Id="rId44"/><Relationship Type="http://schemas.openxmlformats.org/officeDocument/2006/relationships/hyperlink" Target="https://www.qhubocali.com/judiciales/explosion-sacudio-a-cali-cuatro-policias-y-una-civil-resultaron-heridos/" TargetMode="External" Id="rId45"/><Relationship Type="http://schemas.openxmlformats.org/officeDocument/2006/relationships/hyperlink" Target="https://www.eluniversal.com.co/sucesos/2026/10/15/video-violento-ataque-con-drones-a-estacion-de-policia-en-palermo-huila/" TargetMode="External" Id="rId46"/><Relationship Type="http://schemas.openxmlformats.org/officeDocument/2006/relationships/hyperlink" Target="https://www.bluradio.com/nacion/ataque-con-explosivos-lanzados-desde-drones-deja-dos-policias-heridos-en-palermo-huila-pr30" TargetMode="External" Id="rId47"/><Relationship Type="http://schemas.openxmlformats.org/officeDocument/2006/relationships/hyperlink" Target="https://www.defensoria.gov.co/web/guest/w/comunidades-del-occidente-del-departamento-del-huila-estan-en-riesgo-tras-reciente-escalada-de-violencia" TargetMode="External" Id="rId48"/><Relationship Type="http://schemas.openxmlformats.org/officeDocument/2006/relationships/hyperlink" Target="https://www.vanguardia.com/colombia/2026/10/16/ataque-con-drones-en-teruel-huila-dejo-un-policia-herido-y-afecto-instalaciones-oficiales/" TargetMode="External" Id="rId49"/><Relationship Type="http://schemas.openxmlformats.org/officeDocument/2006/relationships/hyperlink" Target="https://www.lafm.com.co/orden-publico/ataque-drones-teruel-huila-414206" TargetMode="External" Id="rId50"/><Relationship Type="http://schemas.openxmlformats.org/officeDocument/2006/relationships/hyperlink" Target="https://www.infobae.com/colombia/2026/10/17/ataque-con-explosivos-dejo-tres-uniformados-lesionados-en-cali/" TargetMode="External" Id="rId51"/><Relationship Type="http://schemas.openxmlformats.org/officeDocument/2006/relationships/hyperlink" Target="https://www.elheraldo.co/colombia/2026/10/17/detonacion-de-artefactos-explosivos-en-zona-rural-de-cali-deja-tres-policias-heridos/" TargetMode="External" Id="rId52"/><Relationship Type="http://schemas.openxmlformats.org/officeDocument/2006/relationships/hyperlink" Target="https://www.eluniversal.com.co/colombia/2026/10/17/explosivos-contra-la-policia-en-cali-cuatro-uniformados-heridos/" TargetMode="External" Id="rId53"/><Relationship Type="http://schemas.openxmlformats.org/officeDocument/2006/relationships/hyperlink" Target="https://www.elheraldo.co/colombia/2026/10/21/ataque-con-drones-contra-estacion-de-policia-en-pelaya-cesar-deja-seis-uniformados-heridos/" TargetMode="External" Id="rId54"/><Relationship Type="http://schemas.openxmlformats.org/officeDocument/2006/relationships/hyperlink" Target="https://www.infobae.com/colombia/2026/10/21/nuevo-ataque-con-drones-contra-una-estacion-de-policia-en-colombia-dejo-seis-uniformados-heridos-autoridades-ofrecieron-millonaria-recompensa/" TargetMode="External" Id="rId55"/><Relationship Type="http://schemas.openxmlformats.org/officeDocument/2006/relationships/hyperlink" Target="https://www.semana.com/nacion/articulo/familia-por-poco-muere-tras-ataque-con-explosivos-del-eln-en-arauca-ejercito-denuncio-a-la-guerrilla-ante-organismos-internacionales/202617/" TargetMode="External" Id="rId56"/><Relationship Type="http://schemas.openxmlformats.org/officeDocument/2006/relationships/hyperlink" Target="https://www.infobae.com/colombia/2026/10/04/atacan-con-explosivos-y-rafagas-de-fusil-una-estacion-de-policia-en-narino-esto-se-sabe/" TargetMode="External" Id="rId57"/><Relationship Type="http://schemas.openxmlformats.org/officeDocument/2006/relationships/hyperlink" Target="https://citytv.eltiempo.com/noticias/nacional/ataque-con-drones-y-fusiles-en-narino-obligo-evacuar-decenas-de-familias_95932" TargetMode="External" Id="rId58"/><Relationship Type="http://schemas.openxmlformats.org/officeDocument/2006/relationships/hyperlink" Target="https://www.lafm.com.co/orden-publico/colombia-narino-el-penol-hostigamiento-armado-drones-explosivos-412937" TargetMode="External" Id="rId59"/><Relationship Type="http://schemas.openxmlformats.org/officeDocument/2006/relationships/hyperlink" Target="https://www.semana.com/nacion/articulo/soldado-resulto-herido-en-un-ataque-con-explosivos-atribuido-preliminarmente-al-eln-en-arauca/202645/" TargetMode="External" Id="rId60"/><Relationship Type="http://schemas.openxmlformats.org/officeDocument/2006/relationships/hyperlink" Target="https://www.eluniversal.com.co/sucesos/2026/10/21/no-resistio-murio-daniel-felipe-pinzon-el-soldado-herido-en-ataque-con-explosivos/" TargetMode="External" Id="rId61"/><Relationship Type="http://schemas.openxmlformats.org/officeDocument/2006/relationships/hyperlink" Target="https://www.elheraldo.co/colombia/2026/10/18/un-soldado-resulto-herido-en-ataque-del-eln-con-explosivos-en-arauca/" TargetMode="External" Id="rId62"/><Relationship Type="http://schemas.openxmlformats.org/officeDocument/2006/relationships/hyperlink" Target="https://www.defensoria.gov.co/-/enfrentamientos-armados-en-la-subregion-del-san-juan-en-el-departamento-de-choco-generan-desplazamiento-y-confinamiento" TargetMode="External" Id="rId63"/><Relationship Type="http://schemas.openxmlformats.org/officeDocument/2006/relationships/hyperlink" Target="https://www.diariodelsur.com.co/noticias/ataque-con-explosivos-en-dagua-deja-cuatro-civiles-heridos" TargetMode="External" Id="rId64"/><Relationship Type="http://schemas.openxmlformats.org/officeDocument/2006/relationships/hyperlink" Target="https://www.semana.com/nacion/articulo/ataque-con-explosivos-aereos-contra-la-policia-en-dagua-enciende-las-alarmas-en-el-valle-del-cauca/202608/" TargetMode="External" Id="rId65"/><Relationship Type="http://schemas.openxmlformats.org/officeDocument/2006/relationships/hyperlink" Target="https://www.infobae.com/colombia/2026/10/23/explosion-de-un-presunto-carro-bomba-en-peaje-de-casanare-deja-cuatro-heridos-investigan-atentado/" TargetMode="External" Id="rId66"/><Relationship Type="http://schemas.openxmlformats.org/officeDocument/2006/relationships/hyperlink" Target="https://www.noticiasrcn.com/colombia/artefacto-explosivo-detono-al-paso-de-patrulla-en-puerto-santander-1074715" TargetMode="External" Id="rId67"/><Relationship Type="http://schemas.openxmlformats.org/officeDocument/2006/relationships/hyperlink" Target="https://www.elpais.com.co/judicial/un-infante-de-marina-murio-y-cuatro-militares-resultaron-heridos-tras-ataque-con-explosivos-en-zona-rural-de-guapi-2343.html" TargetMode="External" Id="rId68"/><Relationship Type="http://schemas.openxmlformats.org/officeDocument/2006/relationships/hyperlink" Target="https://www.eluniversal.com.co/sucesos/2026/10/24/edwin-andres-vargas-el-infante-de-marina-que-murio-en-ataque-con-dron/" TargetMode="External" Id="rId69"/><Relationship Type="http://schemas.openxmlformats.org/officeDocument/2006/relationships/hyperlink" Target="https://www.noticiasrcn.com/colombia/artefacto-explosivo-detono-al-paso-de-patrulla-en-puerto-santander-1074715" TargetMode="External" Id="rId70"/><Relationship Type="http://schemas.openxmlformats.org/officeDocument/2006/relationships/hyperlink" Target="https://www.teleamazonas.com/actualidad/noticias/internacional/cronologia-violencia-colombia-atentados-seguridad-129149/" TargetMode="External" Id="rId71"/><Relationship Type="http://schemas.openxmlformats.org/officeDocument/2006/relationships/hyperlink" Target="https://www.infobae.com/colombia/2026/09/02/atentados-con-explosivos-en-colombia-llegan-a-204-en-2026-tras-carro-bomba-en-los-patios/" TargetMode="External" Id="rId72"/><Relationship Type="http://schemas.openxmlformats.org/officeDocument/2006/relationships/hyperlink" Target="https://www.aljazeera.com/amp/news/2026/9/18/drone-attacks-by-colombian-armed-groups-more-than-double-in-early-2026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0" customWidth="1" min="3" max="3"/>
  </cols>
  <sheetData>
    <row r="8">
      <c r="B8" s="1" t="inlineStr">
        <is>
          <t>Observatorio territorial de terrorismo y violencia armada en Colombia</t>
        </is>
      </c>
    </row>
    <row r="9">
      <c r="B9" s="2" t="inlineStr">
        <is>
          <t>Base de datos depurada · Producto D</t>
        </is>
      </c>
    </row>
    <row r="11">
      <c r="B11" s="3" t="inlineStr">
        <is>
          <t>Periodo</t>
        </is>
      </c>
      <c r="C11" s="4" t="inlineStr">
        <is>
          <t>Desde el 7 de agosto de 2026 (00:00, UTC−5)</t>
        </is>
      </c>
    </row>
    <row r="12">
      <c r="B12" s="3" t="inlineStr">
        <is>
          <t>Fecha de corte</t>
        </is>
      </c>
      <c r="C12" s="4" t="inlineStr">
        <is>
          <t>2026-10-25</t>
        </is>
      </c>
    </row>
    <row r="13">
      <c r="B13" s="3" t="inlineStr">
        <is>
          <t>Registros en la base</t>
        </is>
      </c>
      <c r="C13" s="4">
        <f>COUNTA(Incidentes!A2:A35)</f>
        <v/>
      </c>
    </row>
    <row r="14">
      <c r="B14" s="3" t="inlineStr">
        <is>
          <t>Hojas</t>
        </is>
      </c>
      <c r="C14" s="4" t="inlineStr">
        <is>
          <t>Portada · Incidentes · Indicadores · Fuentes · Excluidos y pendientes · Metodología · Diccionario</t>
        </is>
      </c>
    </row>
    <row r="15">
      <c r="B15" s="3" t="inlineStr">
        <is>
          <t>Elaboración</t>
        </is>
      </c>
      <c r="C15" s="4" t="inlineStr">
        <is>
          <t>GESEG – Gestión de la Seguridad S.A.S. · Del dato a la decisión.</t>
        </is>
      </c>
    </row>
    <row r="16" ht="48" customHeight="1">
      <c r="B16" s="3" t="inlineStr">
        <is>
          <t>Nota</t>
        </is>
      </c>
      <c r="C16" s="4" t="inlineStr">
        <is>
          <t>Instrumento técnico con fuentes abiertas. No es producto de inteligencia ni de contrainteligencia. Los conteos por actor no equivalen a responsabilidad judicial. Revisión independiente pendiente de asignación.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8" customWidth="1" min="4" max="4"/>
    <col width="18" customWidth="1" min="5" max="5"/>
    <col width="34" customWidth="1" min="6" max="6"/>
    <col width="8" customWidth="1" min="7" max="7"/>
    <col width="9" customWidth="1" min="8" max="8"/>
    <col width="20" customWidth="1" min="9" max="9"/>
    <col width="44" customWidth="1" min="10" max="10"/>
    <col width="24" customWidth="1" min="11" max="11"/>
    <col width="26" customWidth="1" min="12" max="12"/>
    <col width="34" customWidth="1" min="13" max="13"/>
    <col width="40" customWidth="1" min="14" max="14"/>
    <col width="2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6" customWidth="1" min="23" max="23"/>
    <col width="40" customWidth="1" min="24" max="24"/>
    <col width="36" customWidth="1" min="25" max="25"/>
    <col width="16" customWidth="1" min="26" max="26"/>
    <col width="16" customWidth="1" min="27" max="27"/>
    <col width="26" customWidth="1" min="28" max="28"/>
    <col width="16" customWidth="1" min="29" max="29"/>
    <col width="30" customWidth="1" min="30" max="30"/>
    <col width="30" customWidth="1" min="31" max="31"/>
    <col width="30" customWidth="1" min="32" max="32"/>
    <col width="9" customWidth="1" min="33" max="33"/>
    <col width="14" customWidth="1" min="34" max="34"/>
  </cols>
  <sheetData>
    <row r="1" ht="32" customHeight="1">
      <c r="A1" s="5" t="inlineStr">
        <is>
          <t>Id</t>
        </is>
      </c>
      <c r="B1" s="5" t="inlineStr">
        <is>
          <t>Fecha</t>
        </is>
      </c>
      <c r="C1" s="5" t="inlineStr">
        <is>
          <t>Hora</t>
        </is>
      </c>
      <c r="D1" s="5" t="inlineStr">
        <is>
          <t>Departamento</t>
        </is>
      </c>
      <c r="E1" s="5" t="inlineStr">
        <is>
          <t>Municipio</t>
        </is>
      </c>
      <c r="F1" s="5" t="inlineStr">
        <is>
          <t>Lugar</t>
        </is>
      </c>
      <c r="G1" s="5" t="inlineStr">
        <is>
          <t>Lat</t>
        </is>
      </c>
      <c r="H1" s="5" t="inlineStr">
        <is>
          <t>Lon</t>
        </is>
      </c>
      <c r="I1" s="5" t="inlineStr">
        <is>
          <t>Precisión coordenada</t>
        </is>
      </c>
      <c r="J1" s="5" t="inlineStr">
        <is>
          <t>Hecho</t>
        </is>
      </c>
      <c r="K1" s="5" t="inlineStr">
        <is>
          <t>Modalidad</t>
        </is>
      </c>
      <c r="L1" s="5" t="inlineStr">
        <is>
          <t>Objetivo</t>
        </is>
      </c>
      <c r="M1" s="5" t="inlineStr">
        <is>
          <t>Clase (analítica)</t>
        </is>
      </c>
      <c r="N1" s="5" t="inlineStr">
        <is>
          <t>Presunto autor</t>
        </is>
      </c>
      <c r="O1" s="5" t="inlineStr">
        <is>
          <t>Grupo</t>
        </is>
      </c>
      <c r="P1" s="5" t="inlineStr">
        <is>
          <t>Atribución</t>
        </is>
      </c>
      <c r="Q1" s="5" t="inlineStr">
        <is>
          <t>Muertos civiles</t>
        </is>
      </c>
      <c r="R1" s="5" t="inlineStr">
        <is>
          <t>Muertos FP</t>
        </is>
      </c>
      <c r="S1" s="5" t="inlineStr">
        <is>
          <t>Heridos civiles</t>
        </is>
      </c>
      <c r="T1" s="5" t="inlineStr">
        <is>
          <t>Heridos FP</t>
        </is>
      </c>
      <c r="U1" s="5" t="inlineStr">
        <is>
          <t>Total muertos</t>
        </is>
      </c>
      <c r="V1" s="5" t="inlineStr">
        <is>
          <t>Total heridos</t>
        </is>
      </c>
      <c r="W1" s="5" t="inlineStr">
        <is>
          <t>Nota de víctimas</t>
        </is>
      </c>
      <c r="X1" s="5" t="inlineStr">
        <is>
          <t>Evidencia</t>
        </is>
      </c>
      <c r="Y1" s="5" t="inlineStr">
        <is>
          <t>Daños</t>
        </is>
      </c>
      <c r="Z1" s="5" t="inlineStr">
        <is>
          <t>Económico</t>
        </is>
      </c>
      <c r="AA1" s="5" t="inlineStr">
        <is>
          <t>Desplazamiento</t>
        </is>
      </c>
      <c r="AB1" s="5" t="inlineStr">
        <is>
          <t>Servicios</t>
        </is>
      </c>
      <c r="AC1" s="5" t="inlineStr">
        <is>
          <t>Estado</t>
        </is>
      </c>
      <c r="AD1" s="5" t="inlineStr">
        <is>
          <t>Fuente 1</t>
        </is>
      </c>
      <c r="AE1" s="5" t="inlineStr">
        <is>
          <t>Fuente 2</t>
        </is>
      </c>
      <c r="AF1" s="5" t="inlineStr">
        <is>
          <t>Fuente 3</t>
        </is>
      </c>
      <c r="AG1" s="5" t="inlineStr">
        <is>
          <t>N.º fuentes</t>
        </is>
      </c>
      <c r="AH1" s="5" t="inlineStr">
        <is>
          <t>Última verificación</t>
        </is>
      </c>
    </row>
    <row r="2">
      <c r="A2" s="6" t="inlineStr">
        <is>
          <t>CO-2026-001</t>
        </is>
      </c>
      <c r="B2" s="7" t="n">
        <v>46241</v>
      </c>
      <c r="C2" s="6" t="inlineStr">
        <is>
          <t>Tarde</t>
        </is>
      </c>
      <c r="D2" s="6" t="inlineStr">
        <is>
          <t>Huila</t>
        </is>
      </c>
      <c r="E2" s="6" t="inlineStr">
        <is>
          <t>Teruel</t>
        </is>
      </c>
      <c r="F2" s="8" t="inlineStr">
        <is>
          <t>Edificio de la Alcaldía y estación de Policía (casco urbano)</t>
        </is>
      </c>
      <c r="G2" s="9" t="n">
        <v>2.74</v>
      </c>
      <c r="H2" s="9" t="n">
        <v>-75.56999999999999</v>
      </c>
      <c r="I2" s="6" t="inlineStr">
        <is>
          <t>Municipal aproximada</t>
        </is>
      </c>
      <c r="J2" s="8" t="inlineStr">
        <is>
          <t>Artefacto explosivo lanzado contra la sede de la Alcaldía, donde funciona la estación</t>
        </is>
      </c>
      <c r="K2" s="6" t="inlineStr">
        <is>
          <t>Granada / artefacto lanzado</t>
        </is>
      </c>
      <c r="L2" s="8" t="inlineStr">
        <is>
          <t>Infraestructura institucional y Fuerza Pública</t>
        </is>
      </c>
      <c r="M2" s="8" t="inlineStr">
        <is>
          <t>Presunto acto terrorista (clasificación analítica provisional)</t>
        </is>
      </c>
      <c r="N2" s="8" t="inlineStr">
        <is>
          <t>Disidencias de las FARC (atribución preliminar de las autoridades; la autoría sigue en investigación)</t>
        </is>
      </c>
      <c r="O2" s="6" t="inlineStr">
        <is>
          <t>Disidencias FARC</t>
        </is>
      </c>
      <c r="P2" s="6" t="inlineStr">
        <is>
          <t>B</t>
        </is>
      </c>
      <c r="Q2" s="6" t="n">
        <v>0</v>
      </c>
      <c r="R2" s="6" t="n">
        <v>0</v>
      </c>
      <c r="S2" s="6" t="n">
        <v>2</v>
      </c>
      <c r="T2" s="6" t="n">
        <v>0</v>
      </c>
      <c r="U2" s="6">
        <f>Q2+R2</f>
        <v/>
      </c>
      <c r="V2" s="6">
        <f>S2+T2</f>
        <v/>
      </c>
      <c r="W2" s="8" t="inlineStr">
        <is>
          <t>Dos contratistas de redes de internet heridos por esquirlas; gravedad no informada.</t>
        </is>
      </c>
      <c r="X2" s="8" t="inlineStr">
        <is>
          <t>Las autoridades señalaron preliminarmente a disidencias de las FARC; no hay decisión judicial.</t>
        </is>
      </c>
      <c r="Y2" s="8" t="inlineStr">
        <is>
          <t>Daños en el edificio de la Alcaldía (segundo piso).</t>
        </is>
      </c>
      <c r="Z2" s="6" t="inlineStr">
        <is>
          <t>No cuantificado</t>
        </is>
      </c>
      <c r="AA2" s="6" t="inlineStr">
        <is>
          <t>No documentado</t>
        </is>
      </c>
      <c r="AB2" s="6" t="inlineStr">
        <is>
          <t>No documentado</t>
        </is>
      </c>
      <c r="AC2" s="6" t="inlineStr">
        <is>
          <t>Preliminar</t>
        </is>
      </c>
      <c r="AD2" s="10" t="inlineStr">
        <is>
          <t>https://www.bluradio.com/nacion/atacan-con-explosivos-la-alcaldia-de-teruel-huila-hay-un-herido-so35</t>
        </is>
      </c>
      <c r="AE2" s="6" t="n"/>
      <c r="AF2" s="6" t="n"/>
      <c r="AG2" s="6">
        <f>COUNTIF(AD2:AF2,"?*")</f>
        <v/>
      </c>
      <c r="AH2" s="6" t="inlineStr">
        <is>
          <t>2026-10-21</t>
        </is>
      </c>
    </row>
    <row r="3">
      <c r="A3" s="6" t="inlineStr">
        <is>
          <t>CO-2026-002</t>
        </is>
      </c>
      <c r="B3" s="7" t="n">
        <v>46242</v>
      </c>
      <c r="C3" s="6" t="inlineStr">
        <is>
          <t>Sin dato</t>
        </is>
      </c>
      <c r="D3" s="6" t="inlineStr">
        <is>
          <t>Cauca</t>
        </is>
      </c>
      <c r="E3" s="6" t="inlineStr">
        <is>
          <t>Santander de Quilichao</t>
        </is>
      </c>
      <c r="F3" s="8" t="inlineStr">
        <is>
          <t>Peaje de la vía Panamericana, sector Mondomo</t>
        </is>
      </c>
      <c r="G3" s="9" t="n">
        <v>3.01</v>
      </c>
      <c r="H3" s="9" t="n">
        <v>-76.48</v>
      </c>
      <c r="I3" s="6" t="inlineStr">
        <is>
          <t>Municipal aproximada</t>
        </is>
      </c>
      <c r="J3" s="8" t="inlineStr">
        <is>
          <t>Vehículo con explosivos detonado en un peaje</t>
        </is>
      </c>
      <c r="K3" s="6" t="inlineStr">
        <is>
          <t>Vehículo con explosivos</t>
        </is>
      </c>
      <c r="L3" s="6" t="inlineStr">
        <is>
          <t>Infraestructura vial</t>
        </is>
      </c>
      <c r="M3" s="8" t="inlineStr">
        <is>
          <t>Presunto acto terrorista (clasificación analítica provisional)</t>
        </is>
      </c>
      <c r="N3" s="8" t="inlineStr">
        <is>
          <t>Disidencias de las FARC (atribución de las Fuerzas Militares, sin precisar la estructura)</t>
        </is>
      </c>
      <c r="O3" s="6" t="inlineStr">
        <is>
          <t>Disidencias FARC</t>
        </is>
      </c>
      <c r="P3" s="6" t="inlineStr">
        <is>
          <t>B</t>
        </is>
      </c>
      <c r="Q3" s="6" t="n">
        <v>0</v>
      </c>
      <c r="R3" s="6" t="n">
        <v>0</v>
      </c>
      <c r="S3" s="6" t="n">
        <v>2</v>
      </c>
      <c r="T3" s="6" t="n">
        <v>0</v>
      </c>
      <c r="U3" s="6">
        <f>Q3+R3</f>
        <v/>
      </c>
      <c r="V3" s="6">
        <f>S3+T3</f>
        <v/>
      </c>
      <c r="W3" s="8" t="inlineStr">
        <is>
          <t>Dos vigilantes con heridas leves.</t>
        </is>
      </c>
      <c r="X3" s="8" t="inlineStr">
        <is>
          <t>Las Fuerzas Militares atribuyeron el hecho a grupos disidentes de las FARC; no se nombró la estructura.</t>
        </is>
      </c>
      <c r="Y3" s="8" t="inlineStr">
        <is>
          <t>Peaje destruido o con daños graves según la cronología consultada.</t>
        </is>
      </c>
      <c r="Z3" s="6" t="inlineStr">
        <is>
          <t>No cuantificado</t>
        </is>
      </c>
      <c r="AA3" s="6" t="inlineStr">
        <is>
          <t>No documentado</t>
        </is>
      </c>
      <c r="AB3" s="8" t="inlineStr">
        <is>
          <t>Movilidad en la vía Panamericana (afectación no cuantificada)</t>
        </is>
      </c>
      <c r="AC3" s="6" t="inlineStr">
        <is>
          <t>Preliminar</t>
        </is>
      </c>
      <c r="AD3" s="10" t="inlineStr">
        <is>
          <t>https://www.aljazeera.com/news/2026/8/8/car-bomb-attack-rattles-colombia-after-inauguration-of-hardline-president</t>
        </is>
      </c>
      <c r="AE3" s="10" t="inlineStr">
        <is>
          <t>https://www.teleamazonas.com/actualidad/noticias/internacional/cronologia-violencia-colombia-atentados-seguridad-129149/</t>
        </is>
      </c>
      <c r="AF3" s="6" t="n"/>
      <c r="AG3" s="6">
        <f>COUNTIF(AD3:AF3,"?*")</f>
        <v/>
      </c>
      <c r="AH3" s="6" t="inlineStr">
        <is>
          <t>2026-10-21</t>
        </is>
      </c>
    </row>
    <row r="4">
      <c r="A4" s="6" t="inlineStr">
        <is>
          <t>CO-2026-003</t>
        </is>
      </c>
      <c r="B4" s="7" t="n">
        <v>46242</v>
      </c>
      <c r="C4" s="6" t="inlineStr">
        <is>
          <t>Madrugada</t>
        </is>
      </c>
      <c r="D4" s="6" t="inlineStr">
        <is>
          <t>Cesar</t>
        </is>
      </c>
      <c r="E4" s="6" t="inlineStr">
        <is>
          <t>Curumaní</t>
        </is>
      </c>
      <c r="F4" s="8" t="inlineStr">
        <is>
          <t>Subestación de Policía San Roque (zona rural)</t>
        </is>
      </c>
      <c r="G4" s="9" t="n">
        <v>9.199999999999999</v>
      </c>
      <c r="H4" s="9" t="n">
        <v>-73.54000000000001</v>
      </c>
      <c r="I4" s="6" t="inlineStr">
        <is>
          <t>Municipal aproximada</t>
        </is>
      </c>
      <c r="J4" s="8" t="inlineStr">
        <is>
          <t>Ataque con explosivos lanzados desde drones contra la subestación</t>
        </is>
      </c>
      <c r="K4" s="6" t="inlineStr">
        <is>
          <t>Dron con explosivos</t>
        </is>
      </c>
      <c r="L4" s="6" t="inlineStr">
        <is>
          <t>Fuerza Pública</t>
        </is>
      </c>
      <c r="M4" s="8" t="inlineStr">
        <is>
          <t>Ataque armado contra Fuerza Pública (clasificación analítica provisional)</t>
        </is>
      </c>
      <c r="N4" s="8" t="inlineStr">
        <is>
          <t>No identificado en las fuentes consultadas</t>
        </is>
      </c>
      <c r="O4" s="6" t="inlineStr">
        <is>
          <t>No determinado</t>
        </is>
      </c>
      <c r="P4" s="6" t="inlineStr">
        <is>
          <t>E</t>
        </is>
      </c>
      <c r="Q4" s="6" t="n">
        <v>0</v>
      </c>
      <c r="R4" s="6" t="n">
        <v>1</v>
      </c>
      <c r="S4" s="6" t="n">
        <v>0</v>
      </c>
      <c r="T4" s="6" t="n">
        <v>1</v>
      </c>
      <c r="U4" s="6">
        <f>Q4+R4</f>
        <v/>
      </c>
      <c r="V4" s="6">
        <f>S4+T4</f>
        <v/>
      </c>
      <c r="W4" s="8" t="inlineStr">
        <is>
          <t>Un subintendente muerto y un uniformado herido.</t>
        </is>
      </c>
      <c r="X4" s="8" t="inlineStr">
        <is>
          <t>Ninguna autoridad ha nombrado a los responsables.</t>
        </is>
      </c>
      <c r="Y4" s="8" t="inlineStr">
        <is>
          <t>Daños en la subestación no cuantificados.</t>
        </is>
      </c>
      <c r="Z4" s="6" t="inlineStr">
        <is>
          <t>No cuantificado</t>
        </is>
      </c>
      <c r="AA4" s="6" t="inlineStr">
        <is>
          <t>No documentado</t>
        </is>
      </c>
      <c r="AB4" s="6" t="inlineStr">
        <is>
          <t>No documentado</t>
        </is>
      </c>
      <c r="AC4" s="6" t="inlineStr">
        <is>
          <t>Preliminar</t>
        </is>
      </c>
      <c r="AD4" s="10" t="inlineStr">
        <is>
          <t>https://www.latribuna.hn/2026/08/08/policia-muere-en-ataque-con-explosivos-lanzados-desde-drones-en-colombia/</t>
        </is>
      </c>
      <c r="AE4" s="10" t="inlineStr">
        <is>
          <t>https://www.minuto30.com/?p=1715502</t>
        </is>
      </c>
      <c r="AF4" s="10" t="inlineStr">
        <is>
          <t>https://www.teleamazonas.com/actualidad/noticias/internacional/cronologia-violencia-colombia-atentados-seguridad-129149/</t>
        </is>
      </c>
      <c r="AG4" s="6">
        <f>COUNTIF(AD4:AF4,"?*")</f>
        <v/>
      </c>
      <c r="AH4" s="6" t="inlineStr">
        <is>
          <t>2026-10-21</t>
        </is>
      </c>
    </row>
    <row r="5">
      <c r="A5" s="6" t="inlineStr">
        <is>
          <t>CO-2026-004</t>
        </is>
      </c>
      <c r="B5" s="7" t="n">
        <v>46249</v>
      </c>
      <c r="C5" s="6" t="inlineStr">
        <is>
          <t>Sin dato</t>
        </is>
      </c>
      <c r="D5" s="6" t="inlineStr">
        <is>
          <t>Norte de Santander</t>
        </is>
      </c>
      <c r="E5" s="6" t="inlineStr">
        <is>
          <t>Ábrego</t>
        </is>
      </c>
      <c r="F5" s="6" t="inlineStr">
        <is>
          <t>Eje vial (zona rural)</t>
        </is>
      </c>
      <c r="G5" s="9" t="n">
        <v>8.08</v>
      </c>
      <c r="H5" s="9" t="n">
        <v>-73.22</v>
      </c>
      <c r="I5" s="6" t="inlineStr">
        <is>
          <t>Municipal aproximada</t>
        </is>
      </c>
      <c r="J5" s="8" t="inlineStr">
        <is>
          <t>Ataque con drones cargados de explosivos contra militares que hacían labores de seguridad</t>
        </is>
      </c>
      <c r="K5" s="6" t="inlineStr">
        <is>
          <t>Dron con explosivos</t>
        </is>
      </c>
      <c r="L5" s="6" t="inlineStr">
        <is>
          <t>Fuerza Pública</t>
        </is>
      </c>
      <c r="M5" s="8" t="inlineStr">
        <is>
          <t>Ataque armado contra Fuerza Pública (clasificación analítica provisional)</t>
        </is>
      </c>
      <c r="N5" s="8" t="inlineStr">
        <is>
          <t>ELN (presuntamente, según el Ministerio de Defensa y el Ejército)</t>
        </is>
      </c>
      <c r="O5" s="6" t="inlineStr">
        <is>
          <t>ELN</t>
        </is>
      </c>
      <c r="P5" s="6" t="inlineStr">
        <is>
          <t>B</t>
        </is>
      </c>
      <c r="Q5" s="6" t="n">
        <v>0</v>
      </c>
      <c r="R5" s="6" t="n">
        <v>1</v>
      </c>
      <c r="S5" s="6" t="n">
        <v>0</v>
      </c>
      <c r="T5" s="6" t="n">
        <v>5</v>
      </c>
      <c r="U5" s="6">
        <f>Q5+R5</f>
        <v/>
      </c>
      <c r="V5" s="6">
        <f>S5+T5</f>
        <v/>
      </c>
      <c r="W5" s="8" t="inlineStr">
        <is>
          <t>Un soldado profesional muerto y cinco heridos.</t>
        </is>
      </c>
      <c r="X5" s="8" t="inlineStr">
        <is>
          <t>El Ministerio de Defensa atribuyó el hecho al ELN en sus redes y el Ejército lo describe como presuntamente perpetrado por el ELN.</t>
        </is>
      </c>
      <c r="Y5" s="6" t="inlineStr">
        <is>
          <t>No informados.</t>
        </is>
      </c>
      <c r="Z5" s="6" t="inlineStr">
        <is>
          <t>No cuantificado</t>
        </is>
      </c>
      <c r="AA5" s="6" t="inlineStr">
        <is>
          <t>No documentado</t>
        </is>
      </c>
      <c r="AB5" s="6" t="inlineStr">
        <is>
          <t>No documentado</t>
        </is>
      </c>
      <c r="AC5" s="6" t="inlineStr">
        <is>
          <t>Confirmado</t>
        </is>
      </c>
      <c r="AD5" s="10" t="inlineStr">
        <is>
          <t>https://www.infobae.com/america/agencias/2026/08/16/al-menos-un-militar-muerto-y-otros-cinco-heridos-en-un-ataque-del-eln-en-el-noreste-de-colombia/</t>
        </is>
      </c>
      <c r="AE5" s="10" t="inlineStr">
        <is>
          <t>https://www.teleamazonas.com/actualidad/noticias/internacional/10-hechos-violentos-colombia-atentados-espriella-129149/</t>
        </is>
      </c>
      <c r="AF5" s="6" t="n"/>
      <c r="AG5" s="6">
        <f>COUNTIF(AD5:AF5,"?*")</f>
        <v/>
      </c>
      <c r="AH5" s="6" t="inlineStr">
        <is>
          <t>2026-10-21</t>
        </is>
      </c>
    </row>
    <row r="6">
      <c r="A6" s="6" t="inlineStr">
        <is>
          <t>CO-2026-005</t>
        </is>
      </c>
      <c r="B6" s="7" t="n">
        <v>46261</v>
      </c>
      <c r="C6" s="6" t="inlineStr">
        <is>
          <t>Sin dato</t>
        </is>
      </c>
      <c r="D6" s="6" t="inlineStr">
        <is>
          <t>Cesar</t>
        </is>
      </c>
      <c r="E6" s="6" t="inlineStr">
        <is>
          <t>Pelaya</t>
        </is>
      </c>
      <c r="F6" s="8" t="inlineStr">
        <is>
          <t>Zona rural; pelotón del Batallón Especial Energético y Vial N.º 3</t>
        </is>
      </c>
      <c r="G6" s="9" t="n">
        <v>8.69</v>
      </c>
      <c r="H6" s="9" t="n">
        <v>-73.67</v>
      </c>
      <c r="I6" s="6" t="inlineStr">
        <is>
          <t>Municipal aproximada</t>
        </is>
      </c>
      <c r="J6" s="8" t="inlineStr">
        <is>
          <t>Ataque con drones y más de 40 artefactos explosivos contra tropas</t>
        </is>
      </c>
      <c r="K6" s="6" t="inlineStr">
        <is>
          <t>Dron con explosivos</t>
        </is>
      </c>
      <c r="L6" s="6" t="inlineStr">
        <is>
          <t>Fuerza Pública</t>
        </is>
      </c>
      <c r="M6" s="8" t="inlineStr">
        <is>
          <t>Ataque armado contra Fuerza Pública (clasificación analítica provisional)</t>
        </is>
      </c>
      <c r="N6" s="8" t="inlineStr">
        <is>
          <t>ELN (atribución preliminar de autoridades sin precisar; el Ejército lo vincula a una posible retaliación)</t>
        </is>
      </c>
      <c r="O6" s="6" t="inlineStr">
        <is>
          <t>ELN</t>
        </is>
      </c>
      <c r="P6" s="6" t="inlineStr">
        <is>
          <t>D</t>
        </is>
      </c>
      <c r="Q6" s="6" t="n">
        <v>0</v>
      </c>
      <c r="R6" s="6" t="n">
        <v>0</v>
      </c>
      <c r="S6" s="6" t="n">
        <v>0</v>
      </c>
      <c r="T6" s="6" t="n">
        <v>2</v>
      </c>
      <c r="U6" s="6">
        <f>Q6+R6</f>
        <v/>
      </c>
      <c r="V6" s="6">
        <f>S6+T6</f>
        <v/>
      </c>
      <c r="W6" s="8" t="inlineStr">
        <is>
          <t>Dos soldados heridos (uno grave).</t>
        </is>
      </c>
      <c r="X6" s="8" t="inlineStr">
        <is>
          <t>Autoridades no identificadas atribuyeron preliminarmente el hecho a estructuras del ELN; el Ejército no nombra al autor.</t>
        </is>
      </c>
      <c r="Y6" s="6" t="inlineStr">
        <is>
          <t>No informados.</t>
        </is>
      </c>
      <c r="Z6" s="6" t="inlineStr">
        <is>
          <t>No cuantificado</t>
        </is>
      </c>
      <c r="AA6" s="6" t="inlineStr">
        <is>
          <t>No documentado</t>
        </is>
      </c>
      <c r="AB6" s="6" t="inlineStr">
        <is>
          <t>No documentado</t>
        </is>
      </c>
      <c r="AC6" s="6" t="inlineStr">
        <is>
          <t>Preliminar</t>
        </is>
      </c>
      <c r="AD6" s="10" t="inlineStr">
        <is>
          <t>https://www.noticiasrcn.com/colombia/lanzan-granadas-contra-batallon-en-pelaya-cesar-1054870</t>
        </is>
      </c>
      <c r="AE6" s="10" t="inlineStr">
        <is>
          <t>https://lapatilla.com/2026/08/27/al-menos-dos-soldados-fueron-heridos-por-ataque-con-explosivos-en-el-norte-de-colombia/</t>
        </is>
      </c>
      <c r="AF6" s="10" t="inlineStr">
        <is>
          <t>https://www.teleamazonas.com/actualidad/noticias/internacional/cronologia-violencia-colombia-atentados-seguridad-129149/</t>
        </is>
      </c>
      <c r="AG6" s="6">
        <f>COUNTIF(AD6:AF6,"?*")</f>
        <v/>
      </c>
      <c r="AH6" s="6" t="inlineStr">
        <is>
          <t>2026-10-21</t>
        </is>
      </c>
    </row>
    <row r="7">
      <c r="A7" s="6" t="inlineStr">
        <is>
          <t>CO-2026-006</t>
        </is>
      </c>
      <c r="B7" s="7" t="n">
        <v>46263</v>
      </c>
      <c r="C7" s="6" t="inlineStr">
        <is>
          <t>Noche</t>
        </is>
      </c>
      <c r="D7" s="6" t="inlineStr">
        <is>
          <t>Cesar</t>
        </is>
      </c>
      <c r="E7" s="6" t="inlineStr">
        <is>
          <t>Pailitas</t>
        </is>
      </c>
      <c r="F7" s="8" t="inlineStr">
        <is>
          <t>Estación de Policía (casco urbano)</t>
        </is>
      </c>
      <c r="G7" s="9" t="n">
        <v>8.960000000000001</v>
      </c>
      <c r="H7" s="9" t="n">
        <v>-73.63</v>
      </c>
      <c r="I7" s="6" t="inlineStr">
        <is>
          <t>Municipal aproximada</t>
        </is>
      </c>
      <c r="J7" s="8" t="inlineStr">
        <is>
          <t>Ataque con drones cargados de explosivos y ráfagas de fusil contra la estación</t>
        </is>
      </c>
      <c r="K7" s="6" t="inlineStr">
        <is>
          <t>Dron con explosivos</t>
        </is>
      </c>
      <c r="L7" s="6" t="inlineStr">
        <is>
          <t>Fuerza Pública</t>
        </is>
      </c>
      <c r="M7" s="8" t="inlineStr">
        <is>
          <t>Ataque armado contra Fuerza Pública (clasificación analítica provisional)</t>
        </is>
      </c>
      <c r="N7" s="8" t="inlineStr">
        <is>
          <t>ELN (según un medio que cita a autoridades locales; no confirmado)</t>
        </is>
      </c>
      <c r="O7" s="6" t="inlineStr">
        <is>
          <t>ELN</t>
        </is>
      </c>
      <c r="P7" s="6" t="inlineStr">
        <is>
          <t>D</t>
        </is>
      </c>
      <c r="Q7" s="6" t="n">
        <v>0</v>
      </c>
      <c r="R7" s="6" t="n">
        <v>0</v>
      </c>
      <c r="S7" s="6" t="n">
        <v>0</v>
      </c>
      <c r="T7" s="6" t="n">
        <v>3</v>
      </c>
      <c r="U7" s="6">
        <f>Q7+R7</f>
        <v/>
      </c>
      <c r="V7" s="6">
        <f>S7+T7</f>
        <v/>
      </c>
      <c r="W7" s="6" t="inlineStr">
        <is>
          <t>Tres policías heridos.</t>
        </is>
      </c>
      <c r="X7" s="8" t="inlineStr">
        <is>
          <t>Solo un medio atribuye el hecho al ELN, citando autoridades locales sin identificar.</t>
        </is>
      </c>
      <c r="Y7" s="8" t="inlineStr">
        <is>
          <t>Daños en el área de alojamiento de la estación.</t>
        </is>
      </c>
      <c r="Z7" s="6" t="inlineStr">
        <is>
          <t>No cuantificado</t>
        </is>
      </c>
      <c r="AA7" s="6" t="inlineStr">
        <is>
          <t>No documentado</t>
        </is>
      </c>
      <c r="AB7" s="6" t="inlineStr">
        <is>
          <t>No documentado</t>
        </is>
      </c>
      <c r="AC7" s="6" t="inlineStr">
        <is>
          <t>Preliminar</t>
        </is>
      </c>
      <c r="AD7" s="10" t="inlineStr">
        <is>
          <t>https://www.noticiasrcn.com/colombia/ataque-con-drones-contra-estacion-en-pailitas-dejo-tres-policias-heridos-se-le-atribuye-al-eln-1055649</t>
        </is>
      </c>
      <c r="AE7" s="10" t="inlineStr">
        <is>
          <t>https://www.eluniversal.com.co/sucesos/2026/08/30/video-atacan-con-drones-estacion-de-policia-en-pailitas-cesar-3-uniformados-heridos/</t>
        </is>
      </c>
      <c r="AF7" s="6" t="n"/>
      <c r="AG7" s="6">
        <f>COUNTIF(AD7:AF7,"?*")</f>
        <v/>
      </c>
      <c r="AH7" s="6" t="inlineStr">
        <is>
          <t>2026-10-21</t>
        </is>
      </c>
    </row>
    <row r="8">
      <c r="A8" s="6" t="inlineStr">
        <is>
          <t>CO-2026-007</t>
        </is>
      </c>
      <c r="B8" s="7" t="n">
        <v>46265</v>
      </c>
      <c r="C8" s="6" t="inlineStr">
        <is>
          <t>23:15</t>
        </is>
      </c>
      <c r="D8" s="6" t="inlineStr">
        <is>
          <t>Norte de Santander</t>
        </is>
      </c>
      <c r="E8" s="6" t="inlineStr">
        <is>
          <t>Los Patios</t>
        </is>
      </c>
      <c r="F8" s="8" t="inlineStr">
        <is>
          <t>Frente a la estación de Policía</t>
        </is>
      </c>
      <c r="G8" s="9" t="n">
        <v>7.84</v>
      </c>
      <c r="H8" s="9" t="n">
        <v>-72.51000000000001</v>
      </c>
      <c r="I8" s="6" t="inlineStr">
        <is>
          <t>Municipal aproximada</t>
        </is>
      </c>
      <c r="J8" s="8" t="inlineStr">
        <is>
          <t>Carro bomba (cerca de 80 kg de amonal activados por radiofrecuencia según la Policía)</t>
        </is>
      </c>
      <c r="K8" s="6" t="inlineStr">
        <is>
          <t>Vehículo con explosivos</t>
        </is>
      </c>
      <c r="L8" s="8" t="inlineStr">
        <is>
          <t>Fuerza Pública y población civil</t>
        </is>
      </c>
      <c r="M8" s="8" t="inlineStr">
        <is>
          <t>Presunto acto terrorista (clasificación analítica provisional)</t>
        </is>
      </c>
      <c r="N8" s="8" t="inlineStr">
        <is>
          <t>Frente de Guerra Urbano Carlos Germán Velasco del ELN (atribución de la Policía; en investigación)</t>
        </is>
      </c>
      <c r="O8" s="6" t="inlineStr">
        <is>
          <t>ELN</t>
        </is>
      </c>
      <c r="P8" s="6" t="inlineStr">
        <is>
          <t>B</t>
        </is>
      </c>
      <c r="Q8" s="6" t="n">
        <v>1</v>
      </c>
      <c r="R8" s="6" t="n">
        <v>0</v>
      </c>
      <c r="S8" s="6" t="n">
        <v>9</v>
      </c>
      <c r="T8" s="6" t="n">
        <v>2</v>
      </c>
      <c r="U8" s="6">
        <f>Q8+R8</f>
        <v/>
      </c>
      <c r="V8" s="6">
        <f>S8+T8</f>
        <v/>
      </c>
      <c r="W8" s="8" t="inlineStr">
        <is>
          <t>Un civil muerto; 11 heridos, entre ellos dos policías.</t>
        </is>
      </c>
      <c r="X8" s="8" t="inlineStr">
        <is>
          <t>La Policía Nacional atribuyó el ataque a esa estructura del ELN; no hay decisión judicial.</t>
        </is>
      </c>
      <c r="Y8" s="8" t="inlineStr">
        <is>
          <t>Daños en la infraestructura policial; vehículos y motocicletas incinerados.</t>
        </is>
      </c>
      <c r="Z8" s="6" t="inlineStr">
        <is>
          <t>No cuantificado</t>
        </is>
      </c>
      <c r="AA8" s="6" t="inlineStr">
        <is>
          <t>No documentado</t>
        </is>
      </c>
      <c r="AB8" s="6" t="inlineStr">
        <is>
          <t>No documentado</t>
        </is>
      </c>
      <c r="AC8" s="6" t="inlineStr">
        <is>
          <t>Confirmado</t>
        </is>
      </c>
      <c r="AD8" s="10" t="inlineStr">
        <is>
          <t>https://www.infobae.com/colombia/2026/09/02/atentados-con-explosivos-en-colombia-llegan-a-204-en-2026-tras-carro-bomba-en-los-patios/</t>
        </is>
      </c>
      <c r="AE8" s="10" t="inlineStr">
        <is>
          <t>https://www.emol.com/noticias/Internacional/2026/09/01/1210192/colombia-atentado-auto-bomba.html</t>
        </is>
      </c>
      <c r="AF8" s="10" t="inlineStr">
        <is>
          <t>https://www.teleamazonas.com/actualidad/noticias/internacional/cronologia-violencia-colombia-atentados-seguridad-129149/</t>
        </is>
      </c>
      <c r="AG8" s="6">
        <f>COUNTIF(AD8:AF8,"?*")</f>
        <v/>
      </c>
      <c r="AH8" s="6" t="inlineStr">
        <is>
          <t>2026-10-21</t>
        </is>
      </c>
    </row>
    <row r="9">
      <c r="A9" s="6" t="inlineStr">
        <is>
          <t>CO-2026-008</t>
        </is>
      </c>
      <c r="B9" s="7" t="n">
        <v>46267</v>
      </c>
      <c r="C9" s="6" t="inlineStr">
        <is>
          <t>Madrugada</t>
        </is>
      </c>
      <c r="D9" s="6" t="inlineStr">
        <is>
          <t>Cesar</t>
        </is>
      </c>
      <c r="E9" s="6" t="inlineStr">
        <is>
          <t>Pailitas</t>
        </is>
      </c>
      <c r="F9" s="8" t="inlineStr">
        <is>
          <t>Subestación de Policía de El Burro</t>
        </is>
      </c>
      <c r="G9" s="9" t="n">
        <v>8.960000000000001</v>
      </c>
      <c r="H9" s="9" t="n">
        <v>-73.63</v>
      </c>
      <c r="I9" s="6" t="inlineStr">
        <is>
          <t>Municipal aproximada</t>
        </is>
      </c>
      <c r="J9" s="8" t="inlineStr">
        <is>
          <t>Ataque con drones que lanzaron varios explosivos; el personal había sido trasladado previamente</t>
        </is>
      </c>
      <c r="K9" s="6" t="inlineStr">
        <is>
          <t>Dron con explosivos</t>
        </is>
      </c>
      <c r="L9" s="6" t="inlineStr">
        <is>
          <t>Fuerza Pública</t>
        </is>
      </c>
      <c r="M9" s="8" t="inlineStr">
        <is>
          <t>Ataque armado contra Fuerza Pública (clasificación analítica provisional)</t>
        </is>
      </c>
      <c r="N9" s="8" t="inlineStr">
        <is>
          <t>No identificado en la fuente consultada</t>
        </is>
      </c>
      <c r="O9" s="6" t="inlineStr">
        <is>
          <t>No determinado</t>
        </is>
      </c>
      <c r="P9" s="6" t="inlineStr">
        <is>
          <t>E</t>
        </is>
      </c>
      <c r="Q9" s="6" t="n">
        <v>0</v>
      </c>
      <c r="R9" s="6" t="n">
        <v>0</v>
      </c>
      <c r="S9" s="6" t="n">
        <v>0</v>
      </c>
      <c r="T9" s="6" t="n">
        <v>0</v>
      </c>
      <c r="U9" s="6">
        <f>Q9+R9</f>
        <v/>
      </c>
      <c r="V9" s="6">
        <f>S9+T9</f>
        <v/>
      </c>
      <c r="W9" s="6" t="inlineStr">
        <is>
          <t>Sin heridos.</t>
        </is>
      </c>
      <c r="X9" s="8" t="inlineStr">
        <is>
          <t>Ninguna autoridad ha nombrado a los responsables.</t>
        </is>
      </c>
      <c r="Y9" s="8" t="inlineStr">
        <is>
          <t>Daños en la estructura de la subestación.</t>
        </is>
      </c>
      <c r="Z9" s="6" t="inlineStr">
        <is>
          <t>No cuantificado</t>
        </is>
      </c>
      <c r="AA9" s="6" t="inlineStr">
        <is>
          <t>No documentado</t>
        </is>
      </c>
      <c r="AB9" s="6" t="inlineStr">
        <is>
          <t>No documentado</t>
        </is>
      </c>
      <c r="AC9" s="6" t="inlineStr">
        <is>
          <t>Preliminar</t>
        </is>
      </c>
      <c r="AD9" s="10" t="inlineStr">
        <is>
          <t>https://www.vanguardia.com/colombia/2026/09/02/nuevo-ataque-con-drones-golpeo-estacion-de-policia-en-el-burro-cesar/</t>
        </is>
      </c>
      <c r="AE9" s="6" t="n"/>
      <c r="AF9" s="6" t="n"/>
      <c r="AG9" s="6">
        <f>COUNTIF(AD9:AF9,"?*")</f>
        <v/>
      </c>
      <c r="AH9" s="6" t="inlineStr">
        <is>
          <t>2026-10-21</t>
        </is>
      </c>
    </row>
    <row r="10">
      <c r="A10" s="6" t="inlineStr">
        <is>
          <t>CO-2026-009</t>
        </is>
      </c>
      <c r="B10" s="7" t="n">
        <v>46269</v>
      </c>
      <c r="C10" s="6" t="inlineStr">
        <is>
          <t>19:20</t>
        </is>
      </c>
      <c r="D10" s="6" t="inlineStr">
        <is>
          <t>Norte de Santander</t>
        </is>
      </c>
      <c r="E10" s="6" t="inlineStr">
        <is>
          <t>Ocaña</t>
        </is>
      </c>
      <c r="F10" s="6" t="inlineStr">
        <is>
          <t>Cantón Militar El Trapiche</t>
        </is>
      </c>
      <c r="G10" s="9" t="n">
        <v>8.25</v>
      </c>
      <c r="H10" s="9" t="n">
        <v>-73.36</v>
      </c>
      <c r="I10" s="6" t="inlineStr">
        <is>
          <t>Municipal aproximada</t>
        </is>
      </c>
      <c r="J10" s="8" t="inlineStr">
        <is>
          <t>Ataque con enjambre de drones con explosivos contra el cantón militar</t>
        </is>
      </c>
      <c r="K10" s="6" t="inlineStr">
        <is>
          <t>Dron con explosivos</t>
        </is>
      </c>
      <c r="L10" s="6" t="inlineStr">
        <is>
          <t>Fuerza Pública</t>
        </is>
      </c>
      <c r="M10" s="8" t="inlineStr">
        <is>
          <t>Ataque armado contra Fuerza Pública (clasificación analítica provisional)</t>
        </is>
      </c>
      <c r="N10" s="8" t="inlineStr">
        <is>
          <t>Frente Camilo Torres Restrepo del ELN (atribución del Ejército)</t>
        </is>
      </c>
      <c r="O10" s="6" t="inlineStr">
        <is>
          <t>ELN</t>
        </is>
      </c>
      <c r="P10" s="6" t="inlineStr">
        <is>
          <t>B</t>
        </is>
      </c>
      <c r="Q10" s="6" t="n">
        <v>0</v>
      </c>
      <c r="R10" s="6" t="n">
        <v>3</v>
      </c>
      <c r="S10" s="6" t="n">
        <v>0</v>
      </c>
      <c r="T10" s="6" t="n">
        <v>4</v>
      </c>
      <c r="U10" s="6">
        <f>Q10+R10</f>
        <v/>
      </c>
      <c r="V10" s="6">
        <f>S10+T10</f>
        <v/>
      </c>
      <c r="W10" s="8" t="inlineStr">
        <is>
          <t>Tres militares muertos (uno falleció al día siguiente) y cuatro heridos.</t>
        </is>
      </c>
      <c r="X10" s="8" t="inlineStr">
        <is>
          <t>El Ejército atribuyó el hecho al ELN; el presidente anunció una ofensiva en el Catatumbo.</t>
        </is>
      </c>
      <c r="Y10" s="8" t="inlineStr">
        <is>
          <t>Una aeronave de la Fuerza Aérea alcanzada por esquirlas, según el Presidente.</t>
        </is>
      </c>
      <c r="Z10" s="6" t="inlineStr">
        <is>
          <t>No cuantificado</t>
        </is>
      </c>
      <c r="AA10" s="6" t="inlineStr">
        <is>
          <t>No documentado</t>
        </is>
      </c>
      <c r="AB10" s="6" t="inlineStr">
        <is>
          <t>No documentado</t>
        </is>
      </c>
      <c r="AC10" s="6" t="inlineStr">
        <is>
          <t>Confirmado</t>
        </is>
      </c>
      <c r="AD10" s="10" t="inlineStr">
        <is>
          <t>https://www.eluniversal.com.co/colombia/2026/09/05/eln-ataco-base-militar-en-ocana-con-drones-cargados-de-explosivos/</t>
        </is>
      </c>
      <c r="AE10" s="10" t="inlineStr">
        <is>
          <t>https://www.minuto30.com/amp/muere-jhon-carlos-soldado-ataque-ocana/1718094/</t>
        </is>
      </c>
      <c r="AF10" s="10" t="inlineStr">
        <is>
          <t>https://www.noticiasrcn.com/colombia/ataque-con-drones-del-eln-en-ocana-deja-dos-militares-muertos-y-cinco-heridos-1057923</t>
        </is>
      </c>
      <c r="AG10" s="6">
        <f>COUNTIF(AD10:AF10,"?*")</f>
        <v/>
      </c>
      <c r="AH10" s="6" t="inlineStr">
        <is>
          <t>2026-10-21</t>
        </is>
      </c>
    </row>
    <row r="11">
      <c r="A11" s="6" t="inlineStr">
        <is>
          <t>CO-2026-010</t>
        </is>
      </c>
      <c r="B11" s="7" t="n">
        <v>46287</v>
      </c>
      <c r="C11" s="6" t="inlineStr">
        <is>
          <t>Noche</t>
        </is>
      </c>
      <c r="D11" s="6" t="inlineStr">
        <is>
          <t>La Guajira</t>
        </is>
      </c>
      <c r="E11" s="6" t="inlineStr">
        <is>
          <t>Uribia</t>
        </is>
      </c>
      <c r="F11" s="8" t="inlineStr">
        <is>
          <t>Línea férrea de Cerrejón, kilómetro 60</t>
        </is>
      </c>
      <c r="G11" s="9" t="n">
        <v>11.71</v>
      </c>
      <c r="H11" s="9" t="n">
        <v>-72.27</v>
      </c>
      <c r="I11" s="6" t="inlineStr">
        <is>
          <t>Municipal aproximada</t>
        </is>
      </c>
      <c r="J11" s="8" t="inlineStr">
        <is>
          <t>Detonación de explosivos que descarriló un tren vacío</t>
        </is>
      </c>
      <c r="K11" s="6" t="inlineStr">
        <is>
          <t>Explosivo / IED</t>
        </is>
      </c>
      <c r="L11" s="8" t="inlineStr">
        <is>
          <t>Infraestructura minera y férrea</t>
        </is>
      </c>
      <c r="M11" s="8" t="inlineStr">
        <is>
          <t>Incierto – autoría y finalidad no establecidas</t>
        </is>
      </c>
      <c r="N11" s="6" t="inlineStr">
        <is>
          <t>No establecido</t>
        </is>
      </c>
      <c r="O11" s="6" t="inlineStr">
        <is>
          <t>No determinado</t>
        </is>
      </c>
      <c r="P11" s="6" t="inlineStr">
        <is>
          <t>E</t>
        </is>
      </c>
      <c r="Q11" s="6" t="n">
        <v>0</v>
      </c>
      <c r="R11" s="6" t="n">
        <v>0</v>
      </c>
      <c r="S11" s="6" t="n">
        <v>0</v>
      </c>
      <c r="T11" s="6" t="n">
        <v>0</v>
      </c>
      <c r="U11" s="6">
        <f>Q11+R11</f>
        <v/>
      </c>
      <c r="V11" s="6">
        <f>S11+T11</f>
        <v/>
      </c>
      <c r="W11" s="8" t="inlineStr">
        <is>
          <t>Sin víctimas; el convoy iba vacío.</t>
        </is>
      </c>
      <c r="X11" s="8" t="inlineStr">
        <is>
          <t>Ninguna autoridad ha confirmado a los responsables.</t>
        </is>
      </c>
      <c r="Y11" s="8" t="inlineStr">
        <is>
          <t>Vagones descarrilados; la empresa evalúa los daños. Sexto ataque de 2026 contra infraestructura de Cerrejón, según la empresa.</t>
        </is>
      </c>
      <c r="Z11" s="6" t="inlineStr">
        <is>
          <t>No cuantificado</t>
        </is>
      </c>
      <c r="AA11" s="6" t="inlineStr">
        <is>
          <t>No documentado</t>
        </is>
      </c>
      <c r="AB11" s="8" t="inlineStr">
        <is>
          <t>Transporte ferroviario de carbón</t>
        </is>
      </c>
      <c r="AC11" s="6" t="inlineStr">
        <is>
          <t>Preliminar</t>
        </is>
      </c>
      <c r="AD11" s="10" t="inlineStr">
        <is>
          <t>https://es.euronews.com/2026/09/23/un-ataque-con-explosivos-descarrila-un-tren-de-cerrejon-en-el-norte-de-colombia</t>
        </is>
      </c>
      <c r="AE11" s="10" t="inlineStr">
        <is>
          <t>https://www.teleamazonas.com/actualidad/noticias/internacional/atentado-explosivos-tren-cerrejon-militarizacion-santa-marta-128719/</t>
        </is>
      </c>
      <c r="AF11" s="6" t="n"/>
      <c r="AG11" s="6">
        <f>COUNTIF(AD11:AF11,"?*")</f>
        <v/>
      </c>
      <c r="AH11" s="6" t="inlineStr">
        <is>
          <t>2026-10-21</t>
        </is>
      </c>
    </row>
    <row r="12">
      <c r="A12" s="6" t="inlineStr">
        <is>
          <t>CO-2026-011</t>
        </is>
      </c>
      <c r="B12" s="7" t="n">
        <v>46287</v>
      </c>
      <c r="C12" s="6" t="inlineStr">
        <is>
          <t>Sin dato</t>
        </is>
      </c>
      <c r="D12" s="6" t="inlineStr">
        <is>
          <t>Magdalena</t>
        </is>
      </c>
      <c r="E12" s="6" t="inlineStr">
        <is>
          <t>Santa Marta</t>
        </is>
      </c>
      <c r="F12" s="8" t="inlineStr">
        <is>
          <t>Troncal del Caribe y zonas urbanas</t>
        </is>
      </c>
      <c r="G12" s="9" t="n">
        <v>11.24</v>
      </c>
      <c r="H12" s="9" t="n">
        <v>-74.2</v>
      </c>
      <c r="I12" s="6" t="inlineStr">
        <is>
          <t>Municipal aproximada</t>
        </is>
      </c>
      <c r="J12" s="8" t="inlineStr">
        <is>
          <t>Quema de vehículos, bloqueos e intimidaciones tras un operativo contra las ACSN; un comunicado en redes planteó un paro</t>
        </is>
      </c>
      <c r="K12" s="6" t="inlineStr">
        <is>
          <t>Paro armado</t>
        </is>
      </c>
      <c r="L12" s="6" t="inlineStr">
        <is>
          <t>Población civil y transporte</t>
        </is>
      </c>
      <c r="M12" s="8" t="inlineStr">
        <is>
          <t>Incierto – autoría y finalidad no establecidas</t>
        </is>
      </c>
      <c r="N12" s="8" t="inlineStr">
        <is>
          <t>Autodefensas Conquistadoras de la Sierra Nevada (según medios)</t>
        </is>
      </c>
      <c r="O12" s="6" t="inlineStr">
        <is>
          <t>ACSN</t>
        </is>
      </c>
      <c r="P12" s="6" t="inlineStr">
        <is>
          <t>D</t>
        </is>
      </c>
      <c r="Q12" s="6" t="n">
        <v>0</v>
      </c>
      <c r="R12" s="6" t="n">
        <v>0</v>
      </c>
      <c r="S12" s="6" t="n">
        <v>0</v>
      </c>
      <c r="T12" s="6" t="n">
        <v>0</v>
      </c>
      <c r="U12" s="6">
        <f>Q12+R12</f>
        <v/>
      </c>
      <c r="V12" s="6">
        <f>S12+T12</f>
        <v/>
      </c>
      <c r="W12" s="8" t="inlineStr">
        <is>
          <t>No se reportan víctimas de estos hechos.</t>
        </is>
      </c>
      <c r="X12" s="8" t="inlineStr">
        <is>
          <t>Medios vinculan los hechos con las ACSN; aún no hay confirmación oficial.</t>
        </is>
      </c>
      <c r="Y12" s="8" t="inlineStr">
        <is>
          <t>Vehículos incendiados y comercio afectado; sin cuantificar.</t>
        </is>
      </c>
      <c r="Z12" s="6" t="inlineStr">
        <is>
          <t>No cuantificado</t>
        </is>
      </c>
      <c r="AA12" s="6" t="inlineStr">
        <is>
          <t>No documentado</t>
        </is>
      </c>
      <c r="AB12" s="8" t="inlineStr">
        <is>
          <t>Transporte y comercio; Troncal del Caribe</t>
        </is>
      </c>
      <c r="AC12" s="6" t="inlineStr">
        <is>
          <t>En investigación</t>
        </is>
      </c>
      <c r="AD12" s="10" t="inlineStr">
        <is>
          <t>https://cambiocolombia.com/pais/articulo/2026/9/paro-armado-santa-marta-primeras-horas-ataques-vehiculos-quemados-respuesta-autoridades</t>
        </is>
      </c>
      <c r="AE12" s="10" t="inlineStr">
        <is>
          <t>https://cambiocolombia.com/pais/articulo/2026/9/hay-paro-armado-en-santa-marta-las-autoridades-lo-niegan-pero-se-reportan-situaciones-de-orden-publico/</t>
        </is>
      </c>
      <c r="AF12" s="10" t="inlineStr">
        <is>
          <t>https://www.teleamazonas.com/actualidad/noticias/internacional/cronologia-violencia-colombia-atentados-seguridad-129149/</t>
        </is>
      </c>
      <c r="AG12" s="6">
        <f>COUNTIF(AD12:AF12,"?*")</f>
        <v/>
      </c>
      <c r="AH12" s="6" t="inlineStr">
        <is>
          <t>2026-10-21</t>
        </is>
      </c>
    </row>
    <row r="13">
      <c r="A13" s="6" t="inlineStr">
        <is>
          <t>CO-2026-012</t>
        </is>
      </c>
      <c r="B13" s="7" t="n">
        <v>46289</v>
      </c>
      <c r="C13" s="6" t="inlineStr">
        <is>
          <t>Sin dato</t>
        </is>
      </c>
      <c r="D13" s="6" t="inlineStr">
        <is>
          <t>Cesar</t>
        </is>
      </c>
      <c r="E13" s="6" t="inlineStr">
        <is>
          <t>Aguachica</t>
        </is>
      </c>
      <c r="F13" s="6" t="inlineStr">
        <is>
          <t>Estación de Policía</t>
        </is>
      </c>
      <c r="G13" s="9" t="n">
        <v>8.31</v>
      </c>
      <c r="H13" s="9" t="n">
        <v>-73.61</v>
      </c>
      <c r="I13" s="6" t="inlineStr">
        <is>
          <t>Municipal aproximada</t>
        </is>
      </c>
      <c r="J13" s="8" t="inlineStr">
        <is>
          <t>Ataque con dos drones que lanzaron cuatro granadas</t>
        </is>
      </c>
      <c r="K13" s="6" t="inlineStr">
        <is>
          <t>Dron con explosivos</t>
        </is>
      </c>
      <c r="L13" s="6" t="inlineStr">
        <is>
          <t>Fuerza Pública</t>
        </is>
      </c>
      <c r="M13" s="8" t="inlineStr">
        <is>
          <t>Ataque armado contra Fuerza Pública (clasificación analítica provisional)</t>
        </is>
      </c>
      <c r="N13" s="6" t="inlineStr">
        <is>
          <t>No identificado</t>
        </is>
      </c>
      <c r="O13" s="6" t="inlineStr">
        <is>
          <t>No determinado</t>
        </is>
      </c>
      <c r="P13" s="6" t="inlineStr">
        <is>
          <t>E</t>
        </is>
      </c>
      <c r="Q13" s="6" t="n">
        <v>0</v>
      </c>
      <c r="R13" s="6" t="n">
        <v>0</v>
      </c>
      <c r="S13" s="6" t="n">
        <v>0</v>
      </c>
      <c r="T13" s="6" t="n">
        <v>0</v>
      </c>
      <c r="U13" s="6">
        <f>Q13+R13</f>
        <v/>
      </c>
      <c r="V13" s="6">
        <f>S13+T13</f>
        <v/>
      </c>
      <c r="W13" s="6" t="inlineStr">
        <is>
          <t>Sin heridos.</t>
        </is>
      </c>
      <c r="X13" s="8" t="inlineStr">
        <is>
          <t>Ninguna autoridad ha nombrado a los responsables.</t>
        </is>
      </c>
      <c r="Y13" s="8" t="inlineStr">
        <is>
          <t>Daños en infraestructura de la estación.</t>
        </is>
      </c>
      <c r="Z13" s="6" t="inlineStr">
        <is>
          <t>No cuantificado</t>
        </is>
      </c>
      <c r="AA13" s="6" t="inlineStr">
        <is>
          <t>No documentado</t>
        </is>
      </c>
      <c r="AB13" s="6" t="inlineStr">
        <is>
          <t>No documentado</t>
        </is>
      </c>
      <c r="AC13" s="6" t="inlineStr">
        <is>
          <t>Preliminar</t>
        </is>
      </c>
      <c r="AD13" s="10" t="inlineStr">
        <is>
          <t>https://minuto60.com/judicial/estacion-policia-fue-atacada-drones-explosivos-cesar/16594</t>
        </is>
      </c>
      <c r="AE13" s="10" t="inlineStr">
        <is>
          <t>https://www.teleamazonas.com/actualidad/noticias/internacional/cronologia-violencia-colombia-atentados-seguridad-129149/</t>
        </is>
      </c>
      <c r="AF13" s="6" t="n"/>
      <c r="AG13" s="6">
        <f>COUNTIF(AD13:AF13,"?*")</f>
        <v/>
      </c>
      <c r="AH13" s="6" t="inlineStr">
        <is>
          <t>2026-10-21</t>
        </is>
      </c>
    </row>
    <row r="14">
      <c r="A14" s="6" t="inlineStr">
        <is>
          <t>CO-2026-013</t>
        </is>
      </c>
      <c r="B14" s="7" t="n">
        <v>46294</v>
      </c>
      <c r="C14" s="6" t="inlineStr">
        <is>
          <t>Sin dato</t>
        </is>
      </c>
      <c r="D14" s="6" t="inlineStr">
        <is>
          <t>Chocó</t>
        </is>
      </c>
      <c r="E14" s="6" t="inlineStr">
        <is>
          <t>Condoto</t>
        </is>
      </c>
      <c r="F14" s="6" t="inlineStr">
        <is>
          <t>Estación de Policía</t>
        </is>
      </c>
      <c r="G14" s="9" t="n">
        <v>5.09</v>
      </c>
      <c r="H14" s="9" t="n">
        <v>-76.65000000000001</v>
      </c>
      <c r="I14" s="6" t="inlineStr">
        <is>
          <t>Municipal aproximada</t>
        </is>
      </c>
      <c r="J14" s="8" t="inlineStr">
        <is>
          <t>Cuatro cargas explosivas lanzadas contra la estación (primer día de una ola de ataques)</t>
        </is>
      </c>
      <c r="K14" s="6" t="inlineStr">
        <is>
          <t>Dron con explosivos</t>
        </is>
      </c>
      <c r="L14" s="6" t="inlineStr">
        <is>
          <t>Fuerza Pública</t>
        </is>
      </c>
      <c r="M14" s="8" t="inlineStr">
        <is>
          <t>Ataque armado contra Fuerza Pública (clasificación analítica provisional)</t>
        </is>
      </c>
      <c r="N14" s="8" t="inlineStr">
        <is>
          <t>ELN (atribución de la Defensoría del Pueblo)</t>
        </is>
      </c>
      <c r="O14" s="6" t="inlineStr">
        <is>
          <t>ELN</t>
        </is>
      </c>
      <c r="P14" s="6" t="inlineStr">
        <is>
          <t>B</t>
        </is>
      </c>
      <c r="Q14" s="6" t="n">
        <v>0</v>
      </c>
      <c r="R14" s="6" t="n">
        <v>0</v>
      </c>
      <c r="S14" s="6" t="n">
        <v>0</v>
      </c>
      <c r="T14" s="6" t="n">
        <v>1</v>
      </c>
      <c r="U14" s="6">
        <f>Q14+R14</f>
        <v/>
      </c>
      <c r="V14" s="6">
        <f>S14+T14</f>
        <v/>
      </c>
      <c r="W14" s="6" t="inlineStr">
        <is>
          <t>Un intendente herido.</t>
        </is>
      </c>
      <c r="X14" s="8" t="inlineStr">
        <is>
          <t>La Defensoría del Pueblo atribuyó la ola de ataques al ELN.</t>
        </is>
      </c>
      <c r="Y14" s="6" t="inlineStr">
        <is>
          <t>No informados.</t>
        </is>
      </c>
      <c r="Z14" s="6" t="inlineStr">
        <is>
          <t>No cuantificado</t>
        </is>
      </c>
      <c r="AA14" s="6" t="inlineStr">
        <is>
          <t>No documentado</t>
        </is>
      </c>
      <c r="AB14" s="6" t="inlineStr">
        <is>
          <t>No documentado</t>
        </is>
      </c>
      <c r="AC14" s="6" t="inlineStr">
        <is>
          <t>Preliminar</t>
        </is>
      </c>
      <c r="AD14" s="10" t="inlineStr">
        <is>
          <t>https://www.vanguardia.com/colombia/2026/10/02/tres-dias-de-ataques-con-drones-en-choco-esto-se-sabe-de-la-ofensiva-contra-la-fuerza-publica/</t>
        </is>
      </c>
      <c r="AE14" s="10" t="inlineStr">
        <is>
          <t>https://www.asuntoslegales.com.co/actualidad/gobernadora-del-choco-alerta-por-11-ataques-con-drones-en-los-ultimos-tres-dias-4494689</t>
        </is>
      </c>
      <c r="AF14" s="6" t="n"/>
      <c r="AG14" s="6">
        <f>COUNTIF(AD14:AF14,"?*")</f>
        <v/>
      </c>
      <c r="AH14" s="6" t="inlineStr">
        <is>
          <t>2026-10-21</t>
        </is>
      </c>
    </row>
    <row r="15">
      <c r="A15" s="6" t="inlineStr">
        <is>
          <t>CO-2026-014</t>
        </is>
      </c>
      <c r="B15" s="7" t="n">
        <v>46295</v>
      </c>
      <c r="C15" s="6" t="inlineStr">
        <is>
          <t>Sin dato</t>
        </is>
      </c>
      <c r="D15" s="6" t="inlineStr">
        <is>
          <t>Chocó</t>
        </is>
      </c>
      <c r="E15" s="6" t="inlineStr">
        <is>
          <t>Nóvita</t>
        </is>
      </c>
      <c r="F15" s="6" t="inlineStr">
        <is>
          <t>Unidades de Policía y Ejército</t>
        </is>
      </c>
      <c r="G15" s="9" t="n">
        <v>4.95</v>
      </c>
      <c r="H15" s="9" t="n">
        <v>-76.64</v>
      </c>
      <c r="I15" s="6" t="inlineStr">
        <is>
          <t>Municipal aproximada</t>
        </is>
      </c>
      <c r="J15" s="8" t="inlineStr">
        <is>
          <t>Seis ataques con drones contra unidades de la Policía y el Ejército</t>
        </is>
      </c>
      <c r="K15" s="6" t="inlineStr">
        <is>
          <t>Dron con explosivos</t>
        </is>
      </c>
      <c r="L15" s="6" t="inlineStr">
        <is>
          <t>Fuerza Pública</t>
        </is>
      </c>
      <c r="M15" s="8" t="inlineStr">
        <is>
          <t>Ataque armado contra Fuerza Pública (clasificación analítica provisional)</t>
        </is>
      </c>
      <c r="N15" s="8" t="inlineStr">
        <is>
          <t>ELN (atribución de la Defensoría del Pueblo)</t>
        </is>
      </c>
      <c r="O15" s="6" t="inlineStr">
        <is>
          <t>ELN</t>
        </is>
      </c>
      <c r="P15" s="6" t="inlineStr">
        <is>
          <t>B</t>
        </is>
      </c>
      <c r="Q15" s="6" t="n">
        <v>0</v>
      </c>
      <c r="R15" s="6" t="n">
        <v>0</v>
      </c>
      <c r="S15" s="6" t="n">
        <v>0</v>
      </c>
      <c r="T15" s="6" t="n">
        <v>0</v>
      </c>
      <c r="U15" s="6">
        <f>Q15+R15</f>
        <v/>
      </c>
      <c r="V15" s="6">
        <f>S15+T15</f>
        <v/>
      </c>
      <c r="W15" s="6" t="inlineStr">
        <is>
          <t>No se reportan víctimas.</t>
        </is>
      </c>
      <c r="X15" s="8" t="inlineStr">
        <is>
          <t>La Defensoría del Pueblo atribuyó la ola de ataques al ELN.</t>
        </is>
      </c>
      <c r="Y15" s="6" t="inlineStr">
        <is>
          <t>No informados.</t>
        </is>
      </c>
      <c r="Z15" s="6" t="inlineStr">
        <is>
          <t>No cuantificado</t>
        </is>
      </c>
      <c r="AA15" s="6" t="inlineStr">
        <is>
          <t>No documentado</t>
        </is>
      </c>
      <c r="AB15" s="6" t="inlineStr">
        <is>
          <t>No documentado</t>
        </is>
      </c>
      <c r="AC15" s="6" t="inlineStr">
        <is>
          <t>Preliminar</t>
        </is>
      </c>
      <c r="AD15" s="10" t="inlineStr">
        <is>
          <t>https://www.vanguardia.com/colombia/2026/10/02/tres-dias-de-ataques-con-drones-en-choco-esto-se-sabe-de-la-ofensiva-contra-la-fuerza-publica/</t>
        </is>
      </c>
      <c r="AE15" s="10" t="inlineStr">
        <is>
          <t>https://www.semana.com/nacion/articulo/gobernadora-del-choco-alerta-por-ola-de-ataques-con-drones-11-en-tres-dias/202631/</t>
        </is>
      </c>
      <c r="AF15" s="6" t="n"/>
      <c r="AG15" s="6">
        <f>COUNTIF(AD15:AF15,"?*")</f>
        <v/>
      </c>
      <c r="AH15" s="6" t="inlineStr">
        <is>
          <t>2026-10-21</t>
        </is>
      </c>
    </row>
    <row r="16">
      <c r="A16" s="6" t="inlineStr">
        <is>
          <t>CO-2026-015</t>
        </is>
      </c>
      <c r="B16" s="7" t="n">
        <v>46296</v>
      </c>
      <c r="C16" s="6" t="inlineStr">
        <is>
          <t>Sin dato</t>
        </is>
      </c>
      <c r="D16" s="6" t="inlineStr">
        <is>
          <t>Chocó</t>
        </is>
      </c>
      <c r="E16" s="6" t="inlineStr">
        <is>
          <t>Río Iró</t>
        </is>
      </c>
      <c r="F16" s="8" t="inlineStr">
        <is>
          <t>Estación de Policía de Santa Rita de Iró</t>
        </is>
      </c>
      <c r="G16" s="9" t="n">
        <v>5.17</v>
      </c>
      <c r="H16" s="9" t="n">
        <v>-76.55</v>
      </c>
      <c r="I16" s="6" t="inlineStr">
        <is>
          <t>Municipal aproximada</t>
        </is>
      </c>
      <c r="J16" s="8" t="inlineStr">
        <is>
          <t>Ataque masivo con drones y explosivos contra la estación</t>
        </is>
      </c>
      <c r="K16" s="6" t="inlineStr">
        <is>
          <t>Dron con explosivos</t>
        </is>
      </c>
      <c r="L16" s="6" t="inlineStr">
        <is>
          <t>Fuerza Pública</t>
        </is>
      </c>
      <c r="M16" s="8" t="inlineStr">
        <is>
          <t>Ataque armado contra Fuerza Pública (clasificación analítica provisional)</t>
        </is>
      </c>
      <c r="N16" s="8" t="inlineStr">
        <is>
          <t>ELN (atribución de la Defensoría del Pueblo)</t>
        </is>
      </c>
      <c r="O16" s="6" t="inlineStr">
        <is>
          <t>ELN</t>
        </is>
      </c>
      <c r="P16" s="6" t="inlineStr">
        <is>
          <t>B</t>
        </is>
      </c>
      <c r="Q16" s="6" t="n">
        <v>0</v>
      </c>
      <c r="R16" s="6" t="n">
        <v>0</v>
      </c>
      <c r="S16" s="6" t="n">
        <v>0</v>
      </c>
      <c r="T16" s="6" t="n">
        <v>0</v>
      </c>
      <c r="U16" s="6">
        <f>Q16+R16</f>
        <v/>
      </c>
      <c r="V16" s="6">
        <f>S16+T16</f>
        <v/>
      </c>
      <c r="W16" s="6" t="inlineStr">
        <is>
          <t>No se reportan víctimas.</t>
        </is>
      </c>
      <c r="X16" s="8" t="inlineStr">
        <is>
          <t>La Defensoría del Pueblo atribuyó la ola de ataques al ELN.</t>
        </is>
      </c>
      <c r="Y16" s="6" t="inlineStr">
        <is>
          <t>No informados.</t>
        </is>
      </c>
      <c r="Z16" s="6" t="inlineStr">
        <is>
          <t>No cuantificado</t>
        </is>
      </c>
      <c r="AA16" s="6" t="inlineStr">
        <is>
          <t>No documentado</t>
        </is>
      </c>
      <c r="AB16" s="6" t="inlineStr">
        <is>
          <t>No documentado</t>
        </is>
      </c>
      <c r="AC16" s="6" t="inlineStr">
        <is>
          <t>Preliminar</t>
        </is>
      </c>
      <c r="AD16" s="10" t="inlineStr">
        <is>
          <t>https://www.vanguardia.com/colombia/2026/10/01/atencion-atacan-con-drones-y-explosivos-estacion-de-policia-de-santa-rita-de-iro-choco/</t>
        </is>
      </c>
      <c r="AE16" s="10" t="inlineStr">
        <is>
          <t>https://www.vanguardia.com/colombia/2026/10/02/tres-dias-de-ataques-con-drones-en-choco-esto-se-sabe-de-la-ofensiva-contra-la-fuerza-publica/</t>
        </is>
      </c>
      <c r="AF16" s="6" t="n"/>
      <c r="AG16" s="6">
        <f>COUNTIF(AD16:AF16,"?*")</f>
        <v/>
      </c>
      <c r="AH16" s="6" t="inlineStr">
        <is>
          <t>2026-10-21</t>
        </is>
      </c>
    </row>
    <row r="17">
      <c r="A17" s="6" t="inlineStr">
        <is>
          <t>CO-2026-016</t>
        </is>
      </c>
      <c r="B17" s="7" t="n">
        <v>46298</v>
      </c>
      <c r="C17" s="6" t="inlineStr">
        <is>
          <t>Sin dato</t>
        </is>
      </c>
      <c r="D17" s="6" t="inlineStr">
        <is>
          <t>Huila</t>
        </is>
      </c>
      <c r="E17" s="6" t="inlineStr">
        <is>
          <t>Neiva</t>
        </is>
      </c>
      <c r="F17" s="8" t="inlineStr">
        <is>
          <t>Vereda Aipecito (zona rural); fecha de la primera nota publicada</t>
        </is>
      </c>
      <c r="G17" s="9" t="n">
        <v>2.93</v>
      </c>
      <c r="H17" s="9" t="n">
        <v>-75.28</v>
      </c>
      <c r="I17" s="6" t="inlineStr">
        <is>
          <t>Municipal aproximada</t>
        </is>
      </c>
      <c r="J17" s="8" t="inlineStr">
        <is>
          <t>Ataque con explosivos lanzados desde drones contra soldados del Batallón de Artillería N.º 9 Tenerife</t>
        </is>
      </c>
      <c r="K17" s="6" t="inlineStr">
        <is>
          <t>Dron con explosivos</t>
        </is>
      </c>
      <c r="L17" s="6" t="inlineStr">
        <is>
          <t>Fuerza Pública</t>
        </is>
      </c>
      <c r="M17" s="8" t="inlineStr">
        <is>
          <t>Ataque armado contra Fuerza Pública (clasificación analítica provisional)</t>
        </is>
      </c>
      <c r="N17" s="8" t="inlineStr">
        <is>
          <t>Frente Ismael Ruiz de las disidencias de Iván Mordisco (atribución del Ejército)</t>
        </is>
      </c>
      <c r="O17" s="6" t="inlineStr">
        <is>
          <t>Disidencias FARC</t>
        </is>
      </c>
      <c r="P17" s="6" t="inlineStr">
        <is>
          <t>B</t>
        </is>
      </c>
      <c r="Q17" s="6" t="n">
        <v>0</v>
      </c>
      <c r="R17" s="6" t="n">
        <v>1</v>
      </c>
      <c r="S17" s="6" t="n">
        <v>0</v>
      </c>
      <c r="T17" s="6" t="n">
        <v>1</v>
      </c>
      <c r="U17" s="6">
        <f>Q17+R17</f>
        <v/>
      </c>
      <c r="V17" s="6">
        <f>S17+T17</f>
        <v/>
      </c>
      <c r="W17" s="8" t="inlineStr">
        <is>
          <t>Un soldado profesional muerto y otro herido por esquirlas.</t>
        </is>
      </c>
      <c r="X17" s="8" t="inlineStr">
        <is>
          <t>El Ejército atribuyó el hecho a esa estructura disidente.</t>
        </is>
      </c>
      <c r="Y17" s="6" t="inlineStr">
        <is>
          <t>No informados.</t>
        </is>
      </c>
      <c r="Z17" s="6" t="inlineStr">
        <is>
          <t>No cuantificado</t>
        </is>
      </c>
      <c r="AA17" s="6" t="inlineStr">
        <is>
          <t>No documentado</t>
        </is>
      </c>
      <c r="AB17" s="6" t="inlineStr">
        <is>
          <t>No documentado</t>
        </is>
      </c>
      <c r="AC17" s="6" t="inlineStr">
        <is>
          <t>Confirmado</t>
        </is>
      </c>
      <c r="AD17" s="10" t="inlineStr">
        <is>
          <t>https://www.vanguardia.com/colombia/2026/10/03/asi-fue-el-ataque-con-drones-que-dejo-un-soldado-muerto-y-otro-herido-en-huila/</t>
        </is>
      </c>
      <c r="AE17" s="10" t="inlineStr">
        <is>
          <t>https://cambiocolombia.com/conflicto-armado-en-colombia/articulo/2026/10/disidencias-de-mordisco-atacan-con-drones-a-militares-en-zona-rural-de-neiva-un-soldado-muerto-y-otro-herido</t>
        </is>
      </c>
      <c r="AF17" s="6" t="n"/>
      <c r="AG17" s="6">
        <f>COUNTIF(AD17:AF17,"?*")</f>
        <v/>
      </c>
      <c r="AH17" s="6" t="inlineStr">
        <is>
          <t>2026-10-21</t>
        </is>
      </c>
    </row>
    <row r="18">
      <c r="A18" s="6" t="inlineStr">
        <is>
          <t>CO-2026-017</t>
        </is>
      </c>
      <c r="B18" s="7" t="n">
        <v>46300</v>
      </c>
      <c r="C18" s="6" t="inlineStr">
        <is>
          <t>01:10</t>
        </is>
      </c>
      <c r="D18" s="6" t="inlineStr">
        <is>
          <t>Cesar</t>
        </is>
      </c>
      <c r="E18" s="6" t="inlineStr">
        <is>
          <t>Aguachica</t>
        </is>
      </c>
      <c r="F18" s="6" t="inlineStr">
        <is>
          <t>Estación de Policía</t>
        </is>
      </c>
      <c r="G18" s="9" t="n">
        <v>8.31</v>
      </c>
      <c r="H18" s="9" t="n">
        <v>-73.61</v>
      </c>
      <c r="I18" s="6" t="inlineStr">
        <is>
          <t>Municipal aproximada</t>
        </is>
      </c>
      <c r="J18" s="8" t="inlineStr">
        <is>
          <t>Ataque con drones y explosivos, con ráfagas de fusil; se fugaron tres detenidos</t>
        </is>
      </c>
      <c r="K18" s="6" t="inlineStr">
        <is>
          <t>Dron con explosivos</t>
        </is>
      </c>
      <c r="L18" s="6" t="inlineStr">
        <is>
          <t>Fuerza Pública</t>
        </is>
      </c>
      <c r="M18" s="8" t="inlineStr">
        <is>
          <t>Ataque armado contra Fuerza Pública (clasificación analítica provisional)</t>
        </is>
      </c>
      <c r="N18" s="8" t="inlineStr">
        <is>
          <t>ELN como primera línea de investigación (no verificada)</t>
        </is>
      </c>
      <c r="O18" s="6" t="inlineStr">
        <is>
          <t>ELN</t>
        </is>
      </c>
      <c r="P18" s="6" t="inlineStr">
        <is>
          <t>D</t>
        </is>
      </c>
      <c r="Q18" s="6" t="n">
        <v>0</v>
      </c>
      <c r="R18" s="6" t="n">
        <v>0</v>
      </c>
      <c r="S18" s="6" t="n">
        <v>1</v>
      </c>
      <c r="T18" s="6" t="n">
        <v>0</v>
      </c>
      <c r="U18" s="6">
        <f>Q18+R18</f>
        <v/>
      </c>
      <c r="V18" s="6">
        <f>S18+T18</f>
        <v/>
      </c>
      <c r="W18" s="8" t="inlineStr">
        <is>
          <t>Un detenido con una lesión en una pierna.</t>
        </is>
      </c>
      <c r="X18" s="8" t="inlineStr">
        <is>
          <t>Autoridades locales apuntan al ELN como hipótesis; no hay atribución definitiva.</t>
        </is>
      </c>
      <c r="Y18" s="8" t="inlineStr">
        <is>
          <t>Daños concentrados en un muro de la estación.</t>
        </is>
      </c>
      <c r="Z18" s="6" t="inlineStr">
        <is>
          <t>No cuantificado</t>
        </is>
      </c>
      <c r="AA18" s="6" t="inlineStr">
        <is>
          <t>No documentado</t>
        </is>
      </c>
      <c r="AB18" s="6" t="inlineStr">
        <is>
          <t>No documentado</t>
        </is>
      </c>
      <c r="AC18" s="6" t="inlineStr">
        <is>
          <t>En investigación</t>
        </is>
      </c>
      <c r="AD18" s="10" t="inlineStr">
        <is>
          <t>https://www.vanguardia.com/colombia/2026/10/05/nueva-noche-de-tension-en-aguachica-tras-ataque-con-explosivos-a-estacion-de-policia/</t>
        </is>
      </c>
      <c r="AE18" s="10" t="inlineStr">
        <is>
          <t>https://www.elpais.com.co/judicial/asointermedias-rechaza-nuevo-ataque-con-drones-contra-la-estacion-de-policia-de-aguachica-cesar-0506.html</t>
        </is>
      </c>
      <c r="AF18" s="6" t="n"/>
      <c r="AG18" s="6">
        <f>COUNTIF(AD18:AF18,"?*")</f>
        <v/>
      </c>
      <c r="AH18" s="6" t="inlineStr">
        <is>
          <t>2026-10-21</t>
        </is>
      </c>
    </row>
    <row r="19">
      <c r="A19" s="6" t="inlineStr">
        <is>
          <t>CO-2026-018</t>
        </is>
      </c>
      <c r="B19" s="7" t="n">
        <v>46302</v>
      </c>
      <c r="C19" s="6" t="inlineStr">
        <is>
          <t>11:34</t>
        </is>
      </c>
      <c r="D19" s="6" t="inlineStr">
        <is>
          <t>Cauca</t>
        </is>
      </c>
      <c r="E19" s="6" t="inlineStr">
        <is>
          <t>Popayán</t>
        </is>
      </c>
      <c r="F19" s="8" t="inlineStr">
        <is>
          <t>Entre los barrios Santa Mónica y Alfonso López</t>
        </is>
      </c>
      <c r="G19" s="9" t="n">
        <v>2.44</v>
      </c>
      <c r="H19" s="9" t="n">
        <v>-76.61</v>
      </c>
      <c r="I19" s="6" t="inlineStr">
        <is>
          <t>Municipal aproximada</t>
        </is>
      </c>
      <c r="J19" s="8" t="inlineStr">
        <is>
          <t>Detonación de un artefacto explosivo cerca de un puesto de control policial</t>
        </is>
      </c>
      <c r="K19" s="6" t="inlineStr">
        <is>
          <t>Explosivo / IED</t>
        </is>
      </c>
      <c r="L19" s="8" t="inlineStr">
        <is>
          <t>Fuerza Pública y población civil</t>
        </is>
      </c>
      <c r="M19" s="8" t="inlineStr">
        <is>
          <t>Incierto – autoría y finalidad no establecidas</t>
        </is>
      </c>
      <c r="N19" s="6" t="inlineStr">
        <is>
          <t>No atribuido</t>
        </is>
      </c>
      <c r="O19" s="6" t="inlineStr">
        <is>
          <t>No determinado</t>
        </is>
      </c>
      <c r="P19" s="6" t="inlineStr">
        <is>
          <t>E</t>
        </is>
      </c>
      <c r="Q19" s="6" t="n">
        <v>0</v>
      </c>
      <c r="R19" s="6" t="n">
        <v>0</v>
      </c>
      <c r="S19" s="6" t="n">
        <v>0</v>
      </c>
      <c r="T19" s="6" t="n">
        <v>2</v>
      </c>
      <c r="U19" s="6">
        <f>Q19+R19</f>
        <v/>
      </c>
      <c r="V19" s="6">
        <f>S19+T19</f>
        <v/>
      </c>
      <c r="W19" s="8" t="inlineStr">
        <is>
          <t>Dos policías gravemente heridos; civiles afectados sin cifra consolidada.</t>
        </is>
      </c>
      <c r="X19" s="6" t="inlineStr">
        <is>
          <t>No hay atribución oficial.</t>
        </is>
      </c>
      <c r="Y19" s="6" t="inlineStr">
        <is>
          <t>No descritos.</t>
        </is>
      </c>
      <c r="Z19" s="6" t="inlineStr">
        <is>
          <t>No cuantificado</t>
        </is>
      </c>
      <c r="AA19" s="6" t="inlineStr">
        <is>
          <t>No documentado</t>
        </is>
      </c>
      <c r="AB19" s="6" t="inlineStr">
        <is>
          <t>No documentado</t>
        </is>
      </c>
      <c r="AC19" s="6" t="inlineStr">
        <is>
          <t>Preliminar</t>
        </is>
      </c>
      <c r="AD19" s="10" t="inlineStr">
        <is>
          <t>https://www.publimetro.co/noticias/2026/10/07/terror-en-popayan-atentado-con-explosivos-deja-al-menos-a-dos-policias-gravemente-heridos/</t>
        </is>
      </c>
      <c r="AE19" s="6" t="n"/>
      <c r="AF19" s="6" t="n"/>
      <c r="AG19" s="6">
        <f>COUNTIF(AD19:AF19,"?*")</f>
        <v/>
      </c>
      <c r="AH19" s="6" t="inlineStr">
        <is>
          <t>2026-10-21</t>
        </is>
      </c>
    </row>
    <row r="20">
      <c r="A20" s="6" t="inlineStr">
        <is>
          <t>CO-2026-019</t>
        </is>
      </c>
      <c r="B20" s="7" t="n">
        <v>46306</v>
      </c>
      <c r="C20" s="6" t="inlineStr">
        <is>
          <t>Sin dato</t>
        </is>
      </c>
      <c r="D20" s="6" t="inlineStr">
        <is>
          <t>Valle del Cauca</t>
        </is>
      </c>
      <c r="E20" s="6" t="inlineStr">
        <is>
          <t>Tuluá</t>
        </is>
      </c>
      <c r="F20" s="8" t="inlineStr">
        <is>
          <t>Corregimiento La Marina (zona rural); fecha de la primera nota publicada</t>
        </is>
      </c>
      <c r="G20" s="9" t="n">
        <v>4.08</v>
      </c>
      <c r="H20" s="9" t="n">
        <v>-76.2</v>
      </c>
      <c r="I20" s="6" t="inlineStr">
        <is>
          <t>Municipal aproximada</t>
        </is>
      </c>
      <c r="J20" s="8" t="inlineStr">
        <is>
          <t>Disparos contra policías que acudieron a un llamado de emergencia que sería una trampa</t>
        </is>
      </c>
      <c r="K20" s="6" t="inlineStr">
        <is>
          <t>Ataque armado</t>
        </is>
      </c>
      <c r="L20" s="6" t="inlineStr">
        <is>
          <t>Fuerza Pública</t>
        </is>
      </c>
      <c r="M20" s="8" t="inlineStr">
        <is>
          <t>Ataque armado contra Fuerza Pública (clasificación analítica provisional)</t>
        </is>
      </c>
      <c r="N20" s="8" t="inlineStr">
        <is>
          <t>Frente 57 de las disidencias de las FARC (primeras informaciones; la Policía vincula al atacante abatido)</t>
        </is>
      </c>
      <c r="O20" s="6" t="inlineStr">
        <is>
          <t>Disidencias FARC</t>
        </is>
      </c>
      <c r="P20" s="6" t="inlineStr">
        <is>
          <t>B</t>
        </is>
      </c>
      <c r="Q20" s="6" t="n">
        <v>0</v>
      </c>
      <c r="R20" s="6" t="n">
        <v>1</v>
      </c>
      <c r="S20" s="6" t="n">
        <v>0</v>
      </c>
      <c r="T20" s="6" t="n">
        <v>1</v>
      </c>
      <c r="U20" s="6">
        <f>Q20+R20</f>
        <v/>
      </c>
      <c r="V20" s="6">
        <f>S20+T20</f>
        <v/>
      </c>
      <c r="W20" s="8" t="inlineStr">
        <is>
          <t>Un policía muerto y otro herido; un presunto atacante abatido (no contado entre las víctimas).</t>
        </is>
      </c>
      <c r="X20" s="8" t="inlineStr">
        <is>
          <t>La Policía indicó que el atacante neutralizado haría parte de ese frente; la atribución es de primeras informaciones.</t>
        </is>
      </c>
      <c r="Y20" s="6" t="inlineStr">
        <is>
          <t>No informados.</t>
        </is>
      </c>
      <c r="Z20" s="6" t="inlineStr">
        <is>
          <t>No cuantificado</t>
        </is>
      </c>
      <c r="AA20" s="6" t="inlineStr">
        <is>
          <t>No documentado</t>
        </is>
      </c>
      <c r="AB20" s="6" t="inlineStr">
        <is>
          <t>No documentado</t>
        </is>
      </c>
      <c r="AC20" s="6" t="inlineStr">
        <is>
          <t>Preliminar</t>
        </is>
      </c>
      <c r="AD20" s="10" t="inlineStr">
        <is>
          <t>https://www.semana.com/nacion/cali/articulo/video-muestra-el-momento-en-el-que-disidentes-atacan-a-disparos-a-policias-en-valle-del-cauca-un-uniformado-fue-asesinado/202640/</t>
        </is>
      </c>
      <c r="AE20" s="6" t="n"/>
      <c r="AF20" s="6" t="n"/>
      <c r="AG20" s="6">
        <f>COUNTIF(AD20:AF20,"?*")</f>
        <v/>
      </c>
      <c r="AH20" s="6" t="inlineStr">
        <is>
          <t>2026-10-21</t>
        </is>
      </c>
    </row>
    <row r="21">
      <c r="A21" s="6" t="inlineStr">
        <is>
          <t>CO-2026-020</t>
        </is>
      </c>
      <c r="B21" s="7" t="n">
        <v>46308</v>
      </c>
      <c r="C21" s="6" t="inlineStr">
        <is>
          <t>Sin dato</t>
        </is>
      </c>
      <c r="D21" s="6" t="inlineStr">
        <is>
          <t>Valle del Cauca</t>
        </is>
      </c>
      <c r="E21" s="6" t="inlineStr">
        <is>
          <t>Jamundí</t>
        </is>
      </c>
      <c r="F21" s="8" t="inlineStr">
        <is>
          <t>Subestación de Policía de Potrerito (zona rural)</t>
        </is>
      </c>
      <c r="G21" s="9" t="n">
        <v>3.26</v>
      </c>
      <c r="H21" s="9" t="n">
        <v>-76.54000000000001</v>
      </c>
      <c r="I21" s="6" t="inlineStr">
        <is>
          <t>Municipal aproximada</t>
        </is>
      </c>
      <c r="J21" s="8" t="inlineStr">
        <is>
          <t>Ataque con drones contra la subestación</t>
        </is>
      </c>
      <c r="K21" s="6" t="inlineStr">
        <is>
          <t>Dron con explosivos</t>
        </is>
      </c>
      <c r="L21" s="6" t="inlineStr">
        <is>
          <t>Fuerza Pública</t>
        </is>
      </c>
      <c r="M21" s="8" t="inlineStr">
        <is>
          <t>Ataque armado contra Fuerza Pública (clasificación analítica provisional)</t>
        </is>
      </c>
      <c r="N21" s="8" t="inlineStr">
        <is>
          <t>Frente Jaime Martínez de las disidencias (atribución preliminar)</t>
        </is>
      </c>
      <c r="O21" s="6" t="inlineStr">
        <is>
          <t>Disidencias FARC</t>
        </is>
      </c>
      <c r="P21" s="6" t="inlineStr">
        <is>
          <t>D</t>
        </is>
      </c>
      <c r="Q21" s="6" t="n">
        <v>0</v>
      </c>
      <c r="R21" s="6" t="n">
        <v>0</v>
      </c>
      <c r="S21" s="6" t="n">
        <v>0</v>
      </c>
      <c r="T21" s="6" t="n">
        <v>0</v>
      </c>
      <c r="U21" s="6">
        <f>Q21+R21</f>
        <v/>
      </c>
      <c r="V21" s="6">
        <f>S21+T21</f>
        <v/>
      </c>
      <c r="W21" s="8" t="inlineStr">
        <is>
          <t>No se reportan víctimas en la fuente consultada.</t>
        </is>
      </c>
      <c r="X21" s="8" t="inlineStr">
        <is>
          <t>Fuente secundaria que cita una atribución preliminar sin identificar a la autoridad.</t>
        </is>
      </c>
      <c r="Y21" s="6" t="inlineStr">
        <is>
          <t>No informados.</t>
        </is>
      </c>
      <c r="Z21" s="6" t="inlineStr">
        <is>
          <t>No cuantificado</t>
        </is>
      </c>
      <c r="AA21" s="6" t="inlineStr">
        <is>
          <t>No documentado</t>
        </is>
      </c>
      <c r="AB21" s="6" t="inlineStr">
        <is>
          <t>No documentado</t>
        </is>
      </c>
      <c r="AC21" s="6" t="inlineStr">
        <is>
          <t>Preliminar</t>
        </is>
      </c>
      <c r="AD21" s="10" t="inlineStr">
        <is>
          <t>https://90minutos.co/judicial/reportan-ataque-drones-zona-rural-jamundi-valle-cauca-13-10-2026/</t>
        </is>
      </c>
      <c r="AE21" s="6" t="n"/>
      <c r="AF21" s="6" t="n"/>
      <c r="AG21" s="6">
        <f>COUNTIF(AD21:AF21,"?*")</f>
        <v/>
      </c>
      <c r="AH21" s="6" t="inlineStr">
        <is>
          <t>2026-10-21</t>
        </is>
      </c>
    </row>
    <row r="22">
      <c r="A22" s="6" t="inlineStr">
        <is>
          <t>CO-2026-021</t>
        </is>
      </c>
      <c r="B22" s="7" t="n">
        <v>46309</v>
      </c>
      <c r="C22" s="6" t="inlineStr">
        <is>
          <t>Noche</t>
        </is>
      </c>
      <c r="D22" s="6" t="inlineStr">
        <is>
          <t>Chocó</t>
        </is>
      </c>
      <c r="E22" s="6" t="inlineStr">
        <is>
          <t>San José del Palmar</t>
        </is>
      </c>
      <c r="F22" s="8" t="inlineStr">
        <is>
          <t>Vereda Alto del Oso (instalaciones militares)</t>
        </is>
      </c>
      <c r="G22" s="9" t="n">
        <v>4.9</v>
      </c>
      <c r="H22" s="9" t="n">
        <v>-76.23</v>
      </c>
      <c r="I22" s="6" t="inlineStr">
        <is>
          <t>Municipal aproximada</t>
        </is>
      </c>
      <c r="J22" s="8" t="inlineStr">
        <is>
          <t>Ataque con drones y granadas contra tropas; 21 granadas detonadas según la Gobernadora</t>
        </is>
      </c>
      <c r="K22" s="6" t="inlineStr">
        <is>
          <t>Dron con explosivos</t>
        </is>
      </c>
      <c r="L22" s="6" t="inlineStr">
        <is>
          <t>Fuerza Pública</t>
        </is>
      </c>
      <c r="M22" s="8" t="inlineStr">
        <is>
          <t>Ataque armado contra Fuerza Pública (clasificación analítica provisional)</t>
        </is>
      </c>
      <c r="N22" s="8" t="inlineStr">
        <is>
          <t>Frente Ernesto Che Guevara del ELN (atribución preliminar del Ejército)</t>
        </is>
      </c>
      <c r="O22" s="6" t="inlineStr">
        <is>
          <t>ELN</t>
        </is>
      </c>
      <c r="P22" s="6" t="inlineStr">
        <is>
          <t>B</t>
        </is>
      </c>
      <c r="Q22" s="6" t="n">
        <v>0</v>
      </c>
      <c r="R22" s="6" t="n">
        <v>0</v>
      </c>
      <c r="S22" s="6" t="n">
        <v>0</v>
      </c>
      <c r="T22" s="6" t="n">
        <v>9</v>
      </c>
      <c r="U22" s="6">
        <f>Q22+R22</f>
        <v/>
      </c>
      <c r="V22" s="6">
        <f>S22+T22</f>
        <v/>
      </c>
      <c r="W22" s="8" t="inlineStr">
        <is>
          <t>Nueve militares heridos, evacuados a Medellín.</t>
        </is>
      </c>
      <c r="X22" s="8" t="inlineStr">
        <is>
          <t>El Ejército atribuyó el ataque a esa estructura del ELN, en términos preliminares.</t>
        </is>
      </c>
      <c r="Y22" s="6" t="inlineStr">
        <is>
          <t>No informados.</t>
        </is>
      </c>
      <c r="Z22" s="6" t="inlineStr">
        <is>
          <t>No cuantificado</t>
        </is>
      </c>
      <c r="AA22" s="6" t="inlineStr">
        <is>
          <t>No documentado</t>
        </is>
      </c>
      <c r="AB22" s="6" t="inlineStr">
        <is>
          <t>No documentado</t>
        </is>
      </c>
      <c r="AC22" s="6" t="inlineStr">
        <is>
          <t>Preliminar</t>
        </is>
      </c>
      <c r="AD22" s="10" t="inlineStr">
        <is>
          <t>https://www.infobae.com/colombia/2026/10/15/ataque-con-drones-atribuido-al-eln-en-san-jose-del-palmar-choco-dejo-un-saldo-de-nueve-militares-heridos/</t>
        </is>
      </c>
      <c r="AE22" s="10" t="inlineStr">
        <is>
          <t>https://www.noticiasrcn.com/colombia/nueve-soldados-resultaron-heridos-por-ataque-con-drones-en-san-jose-del-palmar-choco-1071590</t>
        </is>
      </c>
      <c r="AF22" s="10" t="inlineStr">
        <is>
          <t>https://www.defensoria.gov.co/web/guest/w/llamamos-a-proteger-a-la-poblacion-civil-tras-ataque-con-drones-que-dejo-nueve-militares-heridos-en-san-jose-del-palmar-choco</t>
        </is>
      </c>
      <c r="AG22" s="6">
        <f>COUNTIF(AD22:AF22,"?*")</f>
        <v/>
      </c>
      <c r="AH22" s="6" t="inlineStr">
        <is>
          <t>2026-10-21</t>
        </is>
      </c>
    </row>
    <row r="23">
      <c r="A23" s="6" t="inlineStr">
        <is>
          <t>CO-2026-022</t>
        </is>
      </c>
      <c r="B23" s="7" t="n">
        <v>46310</v>
      </c>
      <c r="C23" s="6" t="inlineStr">
        <is>
          <t>Mañana</t>
        </is>
      </c>
      <c r="D23" s="6" t="inlineStr">
        <is>
          <t>Valle del Cauca</t>
        </is>
      </c>
      <c r="E23" s="6" t="inlineStr">
        <is>
          <t>Cali</t>
        </is>
      </c>
      <c r="F23" s="8" t="inlineStr">
        <is>
          <t>Oriente de la ciudad; patrulla de la Policía en control preventivo</t>
        </is>
      </c>
      <c r="G23" s="9" t="n">
        <v>3.45</v>
      </c>
      <c r="H23" s="9" t="n">
        <v>-76.53</v>
      </c>
      <c r="I23" s="6" t="inlineStr">
        <is>
          <t>Municipal aproximada</t>
        </is>
      </c>
      <c r="J23" s="8" t="inlineStr">
        <is>
          <t>Granada lanzada contra una patrulla; un hombre fue capturado tras una persecución</t>
        </is>
      </c>
      <c r="K23" s="6" t="inlineStr">
        <is>
          <t>Granada / artefacto lanzado</t>
        </is>
      </c>
      <c r="L23" s="6" t="inlineStr">
        <is>
          <t>Fuerza Pública</t>
        </is>
      </c>
      <c r="M23" s="8" t="inlineStr">
        <is>
          <t>Ataque armado contra Fuerza Pública (clasificación analítica provisional)</t>
        </is>
      </c>
      <c r="N23" s="8" t="inlineStr">
        <is>
          <t>Disidencias de las FARC (según la Alcaldía, por los presuntos nexos del capturado)</t>
        </is>
      </c>
      <c r="O23" s="6" t="inlineStr">
        <is>
          <t>Disidencias FARC</t>
        </is>
      </c>
      <c r="P23" s="6" t="inlineStr">
        <is>
          <t>D</t>
        </is>
      </c>
      <c r="Q23" s="6" t="n">
        <v>0</v>
      </c>
      <c r="R23" s="6" t="n">
        <v>0</v>
      </c>
      <c r="S23" s="6" t="n">
        <v>0</v>
      </c>
      <c r="T23" s="6" t="n">
        <v>5</v>
      </c>
      <c r="U23" s="6">
        <f>Q23+R23</f>
        <v/>
      </c>
      <c r="V23" s="6">
        <f>S23+T23</f>
        <v/>
      </c>
      <c r="W23" s="6" t="inlineStr">
        <is>
          <t>Cinco policías heridos.</t>
        </is>
      </c>
      <c r="X23" s="8" t="inlineStr">
        <is>
          <t>El Alcalde informó que el capturado tendría nexos con disidencias; no hay decisión judicial.</t>
        </is>
      </c>
      <c r="Y23" s="6" t="inlineStr">
        <is>
          <t>No informados.</t>
        </is>
      </c>
      <c r="Z23" s="6" t="inlineStr">
        <is>
          <t>No cuantificado</t>
        </is>
      </c>
      <c r="AA23" s="6" t="inlineStr">
        <is>
          <t>No documentado</t>
        </is>
      </c>
      <c r="AB23" s="6" t="inlineStr">
        <is>
          <t>No documentado</t>
        </is>
      </c>
      <c r="AC23" s="6" t="inlineStr">
        <is>
          <t>En investigación</t>
        </is>
      </c>
      <c r="AD23" s="10" t="inlineStr">
        <is>
          <t>https://www.infobae.com/colombia/2026/10/16/alejandro-eder-entrego-nuevos-detalles-del-atentado-que-dejo-cinco-policias-heridos-en-el-oriente-de-cali-capturado-tendria-nexos-con-las-disidencias-de-las-farc/</t>
        </is>
      </c>
      <c r="AE23" s="10" t="inlineStr">
        <is>
          <t>https://www.qhubocali.com/judiciales/explosion-sacudio-a-cali-cuatro-policias-y-una-civil-resultaron-heridos/</t>
        </is>
      </c>
      <c r="AF23" s="6" t="n"/>
      <c r="AG23" s="6">
        <f>COUNTIF(AD23:AF23,"?*")</f>
        <v/>
      </c>
      <c r="AH23" s="6" t="inlineStr">
        <is>
          <t>2026-10-21</t>
        </is>
      </c>
    </row>
    <row r="24">
      <c r="A24" s="6" t="inlineStr">
        <is>
          <t>CO-2026-023</t>
        </is>
      </c>
      <c r="B24" s="7" t="n">
        <v>46310</v>
      </c>
      <c r="C24" s="6" t="inlineStr">
        <is>
          <t>Mañana</t>
        </is>
      </c>
      <c r="D24" s="6" t="inlineStr">
        <is>
          <t>Huila</t>
        </is>
      </c>
      <c r="E24" s="6" t="inlineStr">
        <is>
          <t>Palermo</t>
        </is>
      </c>
      <c r="F24" s="8" t="inlineStr">
        <is>
          <t>Estación de Policía en la plaza principal</t>
        </is>
      </c>
      <c r="G24" s="9" t="n">
        <v>2.89</v>
      </c>
      <c r="H24" s="9" t="n">
        <v>-75.43000000000001</v>
      </c>
      <c r="I24" s="6" t="inlineStr">
        <is>
          <t>Municipal aproximada</t>
        </is>
      </c>
      <c r="J24" s="8" t="inlineStr">
        <is>
          <t>Ataque con drones cargados con explosivos contra la estación</t>
        </is>
      </c>
      <c r="K24" s="6" t="inlineStr">
        <is>
          <t>Dron con explosivos</t>
        </is>
      </c>
      <c r="L24" s="6" t="inlineStr">
        <is>
          <t>Fuerza Pública</t>
        </is>
      </c>
      <c r="M24" s="8" t="inlineStr">
        <is>
          <t>Ataque armado contra Fuerza Pública (clasificación analítica provisional)</t>
        </is>
      </c>
      <c r="N24" s="6" t="inlineStr">
        <is>
          <t>No identificado</t>
        </is>
      </c>
      <c r="O24" s="6" t="inlineStr">
        <is>
          <t>No determinado</t>
        </is>
      </c>
      <c r="P24" s="6" t="inlineStr">
        <is>
          <t>E</t>
        </is>
      </c>
      <c r="Q24" s="6" t="n">
        <v>0</v>
      </c>
      <c r="R24" s="6" t="n">
        <v>0</v>
      </c>
      <c r="S24" s="6" t="n">
        <v>0</v>
      </c>
      <c r="T24" s="6" t="n">
        <v>2</v>
      </c>
      <c r="U24" s="6">
        <f>Q24+R24</f>
        <v/>
      </c>
      <c r="V24" s="6">
        <f>S24+T24</f>
        <v/>
      </c>
      <c r="W24" s="6" t="inlineStr">
        <is>
          <t>Dos policías heridos.</t>
        </is>
      </c>
      <c r="X24" s="8" t="inlineStr">
        <is>
          <t>Las fuentes no atribuyen el hecho.</t>
        </is>
      </c>
      <c r="Y24" s="6" t="inlineStr">
        <is>
          <t>Daños en una vivienda cercana.</t>
        </is>
      </c>
      <c r="Z24" s="6" t="inlineStr">
        <is>
          <t>No cuantificado</t>
        </is>
      </c>
      <c r="AA24" s="6" t="inlineStr">
        <is>
          <t>No documentado</t>
        </is>
      </c>
      <c r="AB24" s="6" t="inlineStr">
        <is>
          <t>Alcaldía evacuada</t>
        </is>
      </c>
      <c r="AC24" s="6" t="inlineStr">
        <is>
          <t>Preliminar</t>
        </is>
      </c>
      <c r="AD24" s="10" t="inlineStr">
        <is>
          <t>https://www.eluniversal.com.co/sucesos/2026/10/15/video-violento-ataque-con-drones-a-estacion-de-policia-en-palermo-huila/</t>
        </is>
      </c>
      <c r="AE24" s="10" t="inlineStr">
        <is>
          <t>https://www.bluradio.com/nacion/ataque-con-explosivos-lanzados-desde-drones-deja-dos-policias-heridos-en-palermo-huila-pr30</t>
        </is>
      </c>
      <c r="AF24" s="10" t="inlineStr">
        <is>
          <t>https://www.defensoria.gov.co/web/guest/w/comunidades-del-occidente-del-departamento-del-huila-estan-en-riesgo-tras-reciente-escalada-de-violencia</t>
        </is>
      </c>
      <c r="AG24" s="6">
        <f>COUNTIF(AD24:AF24,"?*")</f>
        <v/>
      </c>
      <c r="AH24" s="6" t="inlineStr">
        <is>
          <t>2026-10-21</t>
        </is>
      </c>
    </row>
    <row r="25">
      <c r="A25" s="6" t="inlineStr">
        <is>
          <t>CO-2026-024</t>
        </is>
      </c>
      <c r="B25" s="7" t="n">
        <v>46311</v>
      </c>
      <c r="C25" s="6" t="inlineStr">
        <is>
          <t>Sin dato</t>
        </is>
      </c>
      <c r="D25" s="6" t="inlineStr">
        <is>
          <t>Huila</t>
        </is>
      </c>
      <c r="E25" s="6" t="inlineStr">
        <is>
          <t>Teruel</t>
        </is>
      </c>
      <c r="F25" s="8" t="inlineStr">
        <is>
          <t>Estación de Policía en el edificio de la Alcaldía</t>
        </is>
      </c>
      <c r="G25" s="9" t="n">
        <v>2.74</v>
      </c>
      <c r="H25" s="9" t="n">
        <v>-75.56999999999999</v>
      </c>
      <c r="I25" s="6" t="inlineStr">
        <is>
          <t>Municipal aproximada</t>
        </is>
      </c>
      <c r="J25" s="8" t="inlineStr">
        <is>
          <t>Ataque con drones: al menos cuatro cargas explosivas</t>
        </is>
      </c>
      <c r="K25" s="6" t="inlineStr">
        <is>
          <t>Dron con explosivos</t>
        </is>
      </c>
      <c r="L25" s="8" t="inlineStr">
        <is>
          <t>Fuerza Pública e infraestructura institucional</t>
        </is>
      </c>
      <c r="M25" s="8" t="inlineStr">
        <is>
          <t>Ataque armado contra Fuerza Pública (clasificación analítica provisional)</t>
        </is>
      </c>
      <c r="N25" s="8" t="inlineStr">
        <is>
          <t>No atribuido (en la zona opera el Frente Ismael Ruiz; esto es solo contexto)</t>
        </is>
      </c>
      <c r="O25" s="6" t="inlineStr">
        <is>
          <t>No determinado</t>
        </is>
      </c>
      <c r="P25" s="6" t="inlineStr">
        <is>
          <t>E</t>
        </is>
      </c>
      <c r="Q25" s="6" t="n">
        <v>0</v>
      </c>
      <c r="R25" s="6" t="n">
        <v>0</v>
      </c>
      <c r="S25" s="6" t="n">
        <v>0</v>
      </c>
      <c r="T25" s="6" t="n">
        <v>1</v>
      </c>
      <c r="U25" s="6">
        <f>Q25+R25</f>
        <v/>
      </c>
      <c r="V25" s="6">
        <f>S25+T25</f>
        <v/>
      </c>
      <c r="W25" s="6" t="inlineStr">
        <is>
          <t>Un policía herido.</t>
        </is>
      </c>
      <c r="X25" s="8" t="inlineStr">
        <is>
          <t>Ninguna autoridad ha nombrado a los responsables en las fuentes consultadas.</t>
        </is>
      </c>
      <c r="Y25" s="8" t="inlineStr">
        <is>
          <t>Graves daños en paredes, techos y ventanas del palacio municipal.</t>
        </is>
      </c>
      <c r="Z25" s="6" t="inlineStr">
        <is>
          <t>No cuantificado</t>
        </is>
      </c>
      <c r="AA25" s="6" t="inlineStr">
        <is>
          <t>No documentado</t>
        </is>
      </c>
      <c r="AB25" s="6" t="inlineStr">
        <is>
          <t>Personal municipal evacuado</t>
        </is>
      </c>
      <c r="AC25" s="6" t="inlineStr">
        <is>
          <t>Preliminar</t>
        </is>
      </c>
      <c r="AD25" s="10" t="inlineStr">
        <is>
          <t>https://www.vanguardia.com/colombia/2026/10/16/ataque-con-drones-en-teruel-huila-dejo-un-policia-herido-y-afecto-instalaciones-oficiales/</t>
        </is>
      </c>
      <c r="AE25" s="10" t="inlineStr">
        <is>
          <t>https://www.lafm.com.co/orden-publico/ataque-drones-teruel-huila-414206</t>
        </is>
      </c>
      <c r="AF25" s="6" t="n"/>
      <c r="AG25" s="6">
        <f>COUNTIF(AD25:AF25,"?*")</f>
        <v/>
      </c>
      <c r="AH25" s="6" t="inlineStr">
        <is>
          <t>2026-10-21</t>
        </is>
      </c>
    </row>
    <row r="26">
      <c r="A26" s="6" t="inlineStr">
        <is>
          <t>CO-2026-025</t>
        </is>
      </c>
      <c r="B26" s="7" t="n">
        <v>46312</v>
      </c>
      <c r="C26" s="6" t="inlineStr">
        <is>
          <t>08:10</t>
        </is>
      </c>
      <c r="D26" s="6" t="inlineStr">
        <is>
          <t>Valle del Cauca</t>
        </is>
      </c>
      <c r="E26" s="6" t="inlineStr">
        <is>
          <t>Cali</t>
        </is>
      </c>
      <c r="F26" s="6" t="inlineStr">
        <is>
          <t>Montebello, vía a Tres Cruces</t>
        </is>
      </c>
      <c r="G26" s="9" t="n">
        <v>3.45</v>
      </c>
      <c r="H26" s="9" t="n">
        <v>-76.53</v>
      </c>
      <c r="I26" s="6" t="inlineStr">
        <is>
          <t>Municipal aproximada</t>
        </is>
      </c>
      <c r="J26" s="8" t="inlineStr">
        <is>
          <t>Dos artefactos explosivos: uno al paso de una patrulla y otro minutos después, cuando llegaba el grupo antiexplosivos</t>
        </is>
      </c>
      <c r="K26" s="6" t="inlineStr">
        <is>
          <t>Explosivo / IED</t>
        </is>
      </c>
      <c r="L26" s="6" t="inlineStr">
        <is>
          <t>Fuerza Pública</t>
        </is>
      </c>
      <c r="M26" s="8" t="inlineStr">
        <is>
          <t>Presunto acto terrorista (clasificación analítica provisional)</t>
        </is>
      </c>
      <c r="N26" s="8" t="inlineStr">
        <is>
          <t>Estructura Jaime Martínez de las disidencias (atribución del Alcalde de Cali)</t>
        </is>
      </c>
      <c r="O26" s="6" t="inlineStr">
        <is>
          <t>Disidencias FARC</t>
        </is>
      </c>
      <c r="P26" s="6" t="inlineStr">
        <is>
          <t>B</t>
        </is>
      </c>
      <c r="Q26" s="6" t="n">
        <v>0</v>
      </c>
      <c r="R26" s="6" t="n">
        <v>0</v>
      </c>
      <c r="S26" s="6" t="n">
        <v>0</v>
      </c>
      <c r="T26" s="6" t="n">
        <v>3</v>
      </c>
      <c r="U26" s="6">
        <f>Q26+R26</f>
        <v/>
      </c>
      <c r="V26" s="6">
        <f>S26+T26</f>
        <v/>
      </c>
      <c r="W26" s="6" t="inlineStr">
        <is>
          <t>Tres policías heridos.</t>
        </is>
      </c>
      <c r="X26" s="8" t="inlineStr">
        <is>
          <t>El Alcalde de Cali atribuyó los hechos a esa estructura; no hay decisión judicial.</t>
        </is>
      </c>
      <c r="Y26" s="6" t="inlineStr">
        <is>
          <t>No informados.</t>
        </is>
      </c>
      <c r="Z26" s="6" t="inlineStr">
        <is>
          <t>No cuantificado</t>
        </is>
      </c>
      <c r="AA26" s="6" t="inlineStr">
        <is>
          <t>No documentado</t>
        </is>
      </c>
      <c r="AB26" s="6" t="inlineStr">
        <is>
          <t>No documentado</t>
        </is>
      </c>
      <c r="AC26" s="6" t="inlineStr">
        <is>
          <t>Preliminar</t>
        </is>
      </c>
      <c r="AD26" s="10" t="inlineStr">
        <is>
          <t>https://www.infobae.com/colombia/2026/10/17/ataque-con-explosivos-dejo-tres-uniformados-lesionados-en-cali/</t>
        </is>
      </c>
      <c r="AE26" s="10" t="inlineStr">
        <is>
          <t>https://www.elheraldo.co/colombia/2026/10/17/detonacion-de-artefactos-explosivos-en-zona-rural-de-cali-deja-tres-policias-heridos/</t>
        </is>
      </c>
      <c r="AF26" s="10" t="inlineStr">
        <is>
          <t>https://www.eluniversal.com.co/colombia/2026/10/17/explosivos-contra-la-policia-en-cali-cuatro-uniformados-heridos/</t>
        </is>
      </c>
      <c r="AG26" s="6">
        <f>COUNTIF(AD26:AF26,"?*")</f>
        <v/>
      </c>
      <c r="AH26" s="6" t="inlineStr">
        <is>
          <t>2026-10-21</t>
        </is>
      </c>
    </row>
    <row r="27">
      <c r="A27" s="6" t="inlineStr">
        <is>
          <t>CO-2026-026</t>
        </is>
      </c>
      <c r="B27" s="7" t="n">
        <v>46316</v>
      </c>
      <c r="C27" s="6" t="inlineStr">
        <is>
          <t>01:30</t>
        </is>
      </c>
      <c r="D27" s="6" t="inlineStr">
        <is>
          <t>Cesar</t>
        </is>
      </c>
      <c r="E27" s="6" t="inlineStr">
        <is>
          <t>Pelaya</t>
        </is>
      </c>
      <c r="F27" s="6" t="inlineStr">
        <is>
          <t>Estación de Policía</t>
        </is>
      </c>
      <c r="G27" s="9" t="n">
        <v>8.69</v>
      </c>
      <c r="H27" s="9" t="n">
        <v>-73.67</v>
      </c>
      <c r="I27" s="6" t="inlineStr">
        <is>
          <t>Municipal aproximada</t>
        </is>
      </c>
      <c r="J27" s="8" t="inlineStr">
        <is>
          <t>Cuatro ráfagas de descargas lanzadas desde drones contra la estación (segundo ataque similar al municipio)</t>
        </is>
      </c>
      <c r="K27" s="6" t="inlineStr">
        <is>
          <t>Dron con explosivos</t>
        </is>
      </c>
      <c r="L27" s="6" t="inlineStr">
        <is>
          <t>Fuerza Pública</t>
        </is>
      </c>
      <c r="M27" s="8" t="inlineStr">
        <is>
          <t>Ataque armado contra Fuerza Pública (clasificación analítica provisional)</t>
        </is>
      </c>
      <c r="N27" s="8" t="inlineStr">
        <is>
          <t>No identificado por las autoridades</t>
        </is>
      </c>
      <c r="O27" s="6" t="inlineStr">
        <is>
          <t>No determinado</t>
        </is>
      </c>
      <c r="P27" s="6" t="inlineStr">
        <is>
          <t>E</t>
        </is>
      </c>
      <c r="Q27" s="6" t="n">
        <v>0</v>
      </c>
      <c r="R27" s="6" t="n">
        <v>0</v>
      </c>
      <c r="S27" s="6" t="n">
        <v>0</v>
      </c>
      <c r="T27" s="6" t="n">
        <v>6</v>
      </c>
      <c r="U27" s="6">
        <f>Q27+R27</f>
        <v/>
      </c>
      <c r="V27" s="6">
        <f>S27+T27</f>
        <v/>
      </c>
      <c r="W27" s="8" t="inlineStr">
        <is>
          <t>Seis policías heridos, dos con complicaciones.</t>
        </is>
      </c>
      <c r="X27" s="8" t="inlineStr">
        <is>
          <t>La Gobernación se refiere a 'violentos' y no nombra a ningún grupo.</t>
        </is>
      </c>
      <c r="Y27" s="8" t="inlineStr">
        <is>
          <t>Cuatro granadas impactaron la estación.</t>
        </is>
      </c>
      <c r="Z27" s="6" t="inlineStr">
        <is>
          <t>No cuantificado</t>
        </is>
      </c>
      <c r="AA27" s="6" t="inlineStr">
        <is>
          <t>No documentado</t>
        </is>
      </c>
      <c r="AB27" s="6" t="inlineStr">
        <is>
          <t>No documentado</t>
        </is>
      </c>
      <c r="AC27" s="6" t="inlineStr">
        <is>
          <t>Preliminar</t>
        </is>
      </c>
      <c r="AD27" s="10" t="inlineStr">
        <is>
          <t>https://www.elheraldo.co/colombia/2026/10/21/ataque-con-drones-contra-estacion-de-policia-en-pelaya-cesar-deja-seis-uniformados-heridos/</t>
        </is>
      </c>
      <c r="AE27" s="10" t="inlineStr">
        <is>
          <t>https://www.infobae.com/colombia/2026/10/21/nuevo-ataque-con-drones-contra-una-estacion-de-policia-en-colombia-dejo-seis-uniformados-heridos-autoridades-ofrecieron-millonaria-recompensa/</t>
        </is>
      </c>
      <c r="AF27" s="6" t="n"/>
      <c r="AG27" s="6">
        <f>COUNTIF(AD27:AF27,"?*")</f>
        <v/>
      </c>
      <c r="AH27" s="6" t="inlineStr">
        <is>
          <t>2026-10-21</t>
        </is>
      </c>
    </row>
    <row r="28">
      <c r="A28" s="6" t="inlineStr">
        <is>
          <t>CO-2026-027</t>
        </is>
      </c>
      <c r="B28" s="7" t="n">
        <v>46241</v>
      </c>
      <c r="C28" s="6" t="inlineStr">
        <is>
          <t>Tarde</t>
        </is>
      </c>
      <c r="D28" s="6" t="inlineStr">
        <is>
          <t>Arauca</t>
        </is>
      </c>
      <c r="E28" s="6" t="inlineStr">
        <is>
          <t>Fortul</t>
        </is>
      </c>
      <c r="F28" s="8" t="inlineStr">
        <is>
          <t>Cerca de la Concentración Educativa Elvira Walteros</t>
        </is>
      </c>
      <c r="G28" s="9" t="n">
        <v>6.8</v>
      </c>
      <c r="H28" s="9" t="n">
        <v>-71.77</v>
      </c>
      <c r="I28" s="6" t="inlineStr">
        <is>
          <t>Municipal aproximada</t>
        </is>
      </c>
      <c r="J28" s="8" t="inlineStr">
        <is>
          <t>Artefacto explosivo lanzado contra la Fuerza Pública que cayó junto a una vivienda</t>
        </is>
      </c>
      <c r="K28" s="6" t="inlineStr">
        <is>
          <t>Granada / artefacto lanzado</t>
        </is>
      </c>
      <c r="L28" s="8" t="inlineStr">
        <is>
          <t>Fuerza Pública (afectó a una vivienda)</t>
        </is>
      </c>
      <c r="M28" s="8" t="inlineStr">
        <is>
          <t>Ataque armado contra Fuerza Pública (clasificación analítica provisional)</t>
        </is>
      </c>
      <c r="N28" s="6" t="inlineStr">
        <is>
          <t>ELN (atribución del Ejército)</t>
        </is>
      </c>
      <c r="O28" s="6" t="inlineStr">
        <is>
          <t>ELN</t>
        </is>
      </c>
      <c r="P28" s="6" t="inlineStr">
        <is>
          <t>B</t>
        </is>
      </c>
      <c r="Q28" s="6" t="n">
        <v>0</v>
      </c>
      <c r="R28" s="6" t="n">
        <v>0</v>
      </c>
      <c r="S28" s="6" t="n">
        <v>0</v>
      </c>
      <c r="T28" s="6" t="n">
        <v>0</v>
      </c>
      <c r="U28" s="6">
        <f>Q28+R28</f>
        <v/>
      </c>
      <c r="V28" s="6">
        <f>S28+T28</f>
        <v/>
      </c>
      <c r="W28" s="8" t="inlineStr">
        <is>
          <t>Sin muertos ni heridos; una familia en riesgo.</t>
        </is>
      </c>
      <c r="X28" s="8" t="inlineStr">
        <is>
          <t>El Ejército atribuyó el hecho al ELN y lo denunció ante organismos nacionales e internacionales.</t>
        </is>
      </c>
      <c r="Y28" s="8" t="inlineStr">
        <is>
          <t>Daños graves en la estructura de una vivienda.</t>
        </is>
      </c>
      <c r="Z28" s="6" t="inlineStr">
        <is>
          <t>No cuantificado</t>
        </is>
      </c>
      <c r="AA28" s="6" t="inlineStr">
        <is>
          <t>No documentado</t>
        </is>
      </c>
      <c r="AB28" s="6" t="inlineStr">
        <is>
          <t>No documentado</t>
        </is>
      </c>
      <c r="AC28" s="6" t="inlineStr">
        <is>
          <t>Preliminar</t>
        </is>
      </c>
      <c r="AD28" s="10" t="inlineStr">
        <is>
          <t>https://www.semana.com/nacion/articulo/familia-por-poco-muere-tras-ataque-con-explosivos-del-eln-en-arauca-ejercito-denuncio-a-la-guerrilla-ante-organismos-internacionales/202617/</t>
        </is>
      </c>
      <c r="AE28" s="6" t="n"/>
      <c r="AF28" s="6" t="n"/>
      <c r="AG28" s="6">
        <f>COUNTIF(AD28:AF28,"?*")</f>
        <v/>
      </c>
      <c r="AH28" s="6" t="inlineStr">
        <is>
          <t>2026-10-21</t>
        </is>
      </c>
    </row>
    <row r="29">
      <c r="A29" s="6" t="inlineStr">
        <is>
          <t>CO-2026-028</t>
        </is>
      </c>
      <c r="B29" s="7" t="n">
        <v>46299</v>
      </c>
      <c r="C29" s="6" t="inlineStr">
        <is>
          <t>07:50</t>
        </is>
      </c>
      <c r="D29" s="6" t="inlineStr">
        <is>
          <t>Nariño</t>
        </is>
      </c>
      <c r="E29" s="6" t="inlineStr">
        <is>
          <t>El Peñol</t>
        </is>
      </c>
      <c r="F29" s="8" t="inlineStr">
        <is>
          <t>Estación de Policía (casco urbano)</t>
        </is>
      </c>
      <c r="G29" s="9" t="n">
        <v>1.45</v>
      </c>
      <c r="H29" s="9" t="n">
        <v>-77.43000000000001</v>
      </c>
      <c r="I29" s="6" t="inlineStr">
        <is>
          <t>Municipal aproximada</t>
        </is>
      </c>
      <c r="J29" s="8" t="inlineStr">
        <is>
          <t>Hostigamiento con ráfagas de fusil y artefactos explosivos, posiblemente lanzados desde drones; decenas de familias salieron del casco urbano</t>
        </is>
      </c>
      <c r="K29" s="6" t="inlineStr">
        <is>
          <t>Dron con explosivos</t>
        </is>
      </c>
      <c r="L29" s="6" t="inlineStr">
        <is>
          <t>Fuerza Pública</t>
        </is>
      </c>
      <c r="M29" s="8" t="inlineStr">
        <is>
          <t>Ataque armado contra Fuerza Pública (clasificación analítica provisional)</t>
        </is>
      </c>
      <c r="N29" s="8" t="inlineStr">
        <is>
          <t>No atribuido: las fuentes mencionan la confluencia del ELN y disidencias, sin atribución</t>
        </is>
      </c>
      <c r="O29" s="6" t="inlineStr">
        <is>
          <t>No determinado</t>
        </is>
      </c>
      <c r="P29" s="6" t="inlineStr">
        <is>
          <t>E</t>
        </is>
      </c>
      <c r="Q29" s="6" t="n">
        <v>0</v>
      </c>
      <c r="R29" s="6" t="n">
        <v>0</v>
      </c>
      <c r="S29" s="6" t="n">
        <v>0</v>
      </c>
      <c r="T29" s="6" t="n">
        <v>0</v>
      </c>
      <c r="U29" s="6">
        <f>Q29+R29</f>
        <v/>
      </c>
      <c r="V29" s="6">
        <f>S29+T29</f>
        <v/>
      </c>
      <c r="W29" s="6" t="inlineStr">
        <is>
          <t>Heridos aún sin confirmar.</t>
        </is>
      </c>
      <c r="X29" s="8" t="inlineStr">
        <is>
          <t>Ninguna autoridad ha nombrado a los responsables.</t>
        </is>
      </c>
      <c r="Y29" s="8" t="inlineStr">
        <is>
          <t>Se verifican daños en viviendas e infraestructura cercana.</t>
        </is>
      </c>
      <c r="Z29" s="6" t="inlineStr">
        <is>
          <t>No cuantificado</t>
        </is>
      </c>
      <c r="AA29" s="8" t="inlineStr">
        <is>
          <t>Evacuación temporal de decenas de familias del casco urbano</t>
        </is>
      </c>
      <c r="AB29" s="6" t="inlineStr">
        <is>
          <t>No documentado</t>
        </is>
      </c>
      <c r="AC29" s="6" t="inlineStr">
        <is>
          <t>Preliminar</t>
        </is>
      </c>
      <c r="AD29" s="10" t="inlineStr">
        <is>
          <t>https://www.infobae.com/colombia/2026/10/04/atacan-con-explosivos-y-rafagas-de-fusil-una-estacion-de-policia-en-narino-esto-se-sabe/</t>
        </is>
      </c>
      <c r="AE29" s="10" t="inlineStr">
        <is>
          <t>https://citytv.eltiempo.com/noticias/nacional/ataque-con-drones-y-fusiles-en-narino-obligo-evacuar-decenas-de-familias_95932</t>
        </is>
      </c>
      <c r="AF29" s="10" t="inlineStr">
        <is>
          <t>https://www.lafm.com.co/orden-publico/colombia-narino-el-penol-hostigamiento-armado-drones-explosivos-412937</t>
        </is>
      </c>
      <c r="AG29" s="6">
        <f>COUNTIF(AD29:AF29,"?*")</f>
        <v/>
      </c>
      <c r="AH29" s="6" t="inlineStr">
        <is>
          <t>2026-10-21</t>
        </is>
      </c>
    </row>
    <row r="30">
      <c r="A30" s="6" t="inlineStr">
        <is>
          <t>CO-2026-029</t>
        </is>
      </c>
      <c r="B30" s="7" t="n">
        <v>46312</v>
      </c>
      <c r="C30" s="6" t="inlineStr">
        <is>
          <t>Sin dato</t>
        </is>
      </c>
      <c r="D30" s="6" t="inlineStr">
        <is>
          <t>Arauca</t>
        </is>
      </c>
      <c r="E30" s="6" t="inlineStr">
        <is>
          <t>Arauquita</t>
        </is>
      </c>
      <c r="F30" s="6" t="inlineStr">
        <is>
          <t>Sector Puente Quinay</t>
        </is>
      </c>
      <c r="G30" s="9" t="n">
        <v>7.03</v>
      </c>
      <c r="H30" s="9" t="n">
        <v>-71.43000000000001</v>
      </c>
      <c r="I30" s="6" t="inlineStr">
        <is>
          <t>Municipal aproximada</t>
        </is>
      </c>
      <c r="J30" s="8" t="inlineStr">
        <is>
          <t>Hostigamiento con explosivos lanzados desde un vehículo en movimiento contra tropas del Batallón de Infantería N.º 59</t>
        </is>
      </c>
      <c r="K30" s="6" t="inlineStr">
        <is>
          <t>Granada / artefacto lanzado</t>
        </is>
      </c>
      <c r="L30" s="6" t="inlineStr">
        <is>
          <t>Fuerza Pública</t>
        </is>
      </c>
      <c r="M30" s="8" t="inlineStr">
        <is>
          <t>Ataque armado contra Fuerza Pública (clasificación analítica provisional)</t>
        </is>
      </c>
      <c r="N30" s="8" t="inlineStr">
        <is>
          <t>Comisión Martha Elena Barón del ELN (atribución preliminar del Ejército)</t>
        </is>
      </c>
      <c r="O30" s="6" t="inlineStr">
        <is>
          <t>ELN</t>
        </is>
      </c>
      <c r="P30" s="6" t="inlineStr">
        <is>
          <t>B</t>
        </is>
      </c>
      <c r="Q30" s="6" t="n">
        <v>0</v>
      </c>
      <c r="R30" s="6" t="n">
        <v>1</v>
      </c>
      <c r="S30" s="6" t="n">
        <v>0</v>
      </c>
      <c r="T30" s="6" t="n">
        <v>0</v>
      </c>
      <c r="U30" s="6">
        <f>Q30+R30</f>
        <v/>
      </c>
      <c r="V30" s="6">
        <f>S30+T30</f>
        <v/>
      </c>
      <c r="W30" s="8" t="inlineStr">
        <is>
          <t>Un soldado profesional herido por esquirlas que murió después (balance del Ejército, 21-oct).</t>
        </is>
      </c>
      <c r="X30" s="8" t="inlineStr">
        <is>
          <t>El Ejército atribuyó el hecho a esa estructura del ELN, en términos preliminares.</t>
        </is>
      </c>
      <c r="Y30" s="6" t="inlineStr">
        <is>
          <t>No informados.</t>
        </is>
      </c>
      <c r="Z30" s="6" t="inlineStr">
        <is>
          <t>No cuantificado</t>
        </is>
      </c>
      <c r="AA30" s="6" t="inlineStr">
        <is>
          <t>No documentado</t>
        </is>
      </c>
      <c r="AB30" s="6" t="inlineStr">
        <is>
          <t>No documentado</t>
        </is>
      </c>
      <c r="AC30" s="6" t="inlineStr">
        <is>
          <t>Confirmado</t>
        </is>
      </c>
      <c r="AD30" s="10" t="inlineStr">
        <is>
          <t>https://www.semana.com/nacion/articulo/soldado-resulto-herido-en-un-ataque-con-explosivos-atribuido-preliminarmente-al-eln-en-arauca/202645/</t>
        </is>
      </c>
      <c r="AE30" s="10" t="inlineStr">
        <is>
          <t>https://www.eluniversal.com.co/sucesos/2026/10/21/no-resistio-murio-daniel-felipe-pinzon-el-soldado-herido-en-ataque-con-explosivos/</t>
        </is>
      </c>
      <c r="AF30" s="10" t="inlineStr">
        <is>
          <t>https://www.elheraldo.co/colombia/2026/10/18/un-soldado-resulto-herido-en-ataque-del-eln-con-explosivos-en-arauca/</t>
        </is>
      </c>
      <c r="AG30" s="6">
        <f>COUNTIF(AD30:AF30,"?*")</f>
        <v/>
      </c>
      <c r="AH30" s="6" t="inlineStr">
        <is>
          <t>2026-10-21</t>
        </is>
      </c>
    </row>
    <row r="31">
      <c r="A31" s="6" t="inlineStr">
        <is>
          <t>CO-2026-030</t>
        </is>
      </c>
      <c r="B31" s="7" t="n">
        <v>46257</v>
      </c>
      <c r="C31" s="6" t="inlineStr">
        <is>
          <t>Sin dato</t>
        </is>
      </c>
      <c r="D31" s="6" t="inlineStr">
        <is>
          <t>Chocó</t>
        </is>
      </c>
      <c r="E31" s="6" t="inlineStr">
        <is>
          <t>Nóvita</t>
        </is>
      </c>
      <c r="F31" s="8" t="inlineStr">
        <is>
          <t>Subregión del San Juan, entre Sipí y Nóvita (lugar exacto no precisado)</t>
        </is>
      </c>
      <c r="G31" s="9" t="n">
        <v>4.95</v>
      </c>
      <c r="H31" s="9" t="n">
        <v>-76.64</v>
      </c>
      <c r="I31" s="6" t="inlineStr">
        <is>
          <t>Municipal aproximada</t>
        </is>
      </c>
      <c r="J31" s="8" t="inlineStr">
        <is>
          <t>Ataque con un artefacto aéreo no tripulado cargado con explosivos improvisados que dejó civiles heridos</t>
        </is>
      </c>
      <c r="K31" s="6" t="inlineStr">
        <is>
          <t>Dron con explosivos</t>
        </is>
      </c>
      <c r="L31" s="6" t="inlineStr">
        <is>
          <t>Población civil</t>
        </is>
      </c>
      <c r="M31" s="8" t="inlineStr">
        <is>
          <t>Incierto – autoría y finalidad no establecidas</t>
        </is>
      </c>
      <c r="N31" s="8" t="inlineStr">
        <is>
          <t>No atribuido: la Defensoría describe el contexto de combates entre el Clan del Golfo y el ELN, sin atribuir el ataque</t>
        </is>
      </c>
      <c r="O31" s="6" t="inlineStr">
        <is>
          <t>No determinado</t>
        </is>
      </c>
      <c r="P31" s="6" t="inlineStr">
        <is>
          <t>E</t>
        </is>
      </c>
      <c r="Q31" s="6" t="n">
        <v>0</v>
      </c>
      <c r="R31" s="6" t="n">
        <v>0</v>
      </c>
      <c r="S31" s="6" t="n">
        <v>3</v>
      </c>
      <c r="T31" s="6" t="n">
        <v>0</v>
      </c>
      <c r="U31" s="6">
        <f>Q31+R31</f>
        <v/>
      </c>
      <c r="V31" s="6">
        <f>S31+T31</f>
        <v/>
      </c>
      <c r="W31" s="8" t="inlineStr">
        <is>
          <t>Tres civiles heridos (dos hombres y una mujer).</t>
        </is>
      </c>
      <c r="X31" s="8" t="inlineStr">
        <is>
          <t>La Defensoría del Pueblo no atribuye el ataque con dron a ningún grupo.</t>
        </is>
      </c>
      <c r="Y31" s="6" t="inlineStr">
        <is>
          <t>No informados.</t>
        </is>
      </c>
      <c r="Z31" s="6" t="inlineStr">
        <is>
          <t>No cuantificado</t>
        </is>
      </c>
      <c r="AA31" s="8" t="inlineStr">
        <is>
          <t>Desplazamiento y confinamiento de unas 405 familias (1.366 personas) en Nóvita y Sipí por combates entre EGC y ELN, según la Defensoría; no atribuible solo a este hecho</t>
        </is>
      </c>
      <c r="AB31" s="6" t="inlineStr">
        <is>
          <t>No documentado</t>
        </is>
      </c>
      <c r="AC31" s="6" t="inlineStr">
        <is>
          <t>Preliminar</t>
        </is>
      </c>
      <c r="AD31" s="10" t="inlineStr">
        <is>
          <t>https://www.defensoria.gov.co/-/enfrentamientos-armados-en-la-subregion-del-san-juan-en-el-departamento-de-choco-generan-desplazamiento-y-confinamiento</t>
        </is>
      </c>
      <c r="AE31" s="6" t="n"/>
      <c r="AF31" s="6" t="n"/>
      <c r="AG31" s="6">
        <f>COUNTIF(AD31:AF31,"?*")</f>
        <v/>
      </c>
      <c r="AH31" s="6" t="inlineStr">
        <is>
          <t>2026-10-21</t>
        </is>
      </c>
    </row>
    <row r="32">
      <c r="A32" s="6" t="inlineStr">
        <is>
          <t>CO-2026-031</t>
        </is>
      </c>
      <c r="B32" s="7" t="n">
        <v>46308</v>
      </c>
      <c r="C32" s="6" t="inlineStr">
        <is>
          <t>15:20</t>
        </is>
      </c>
      <c r="D32" s="6" t="inlineStr">
        <is>
          <t>Valle del Cauca</t>
        </is>
      </c>
      <c r="E32" s="6" t="inlineStr">
        <is>
          <t>Dagua</t>
        </is>
      </c>
      <c r="F32" s="8" t="inlineStr">
        <is>
          <t>Corregimiento El Queremal, subestación de Policía</t>
        </is>
      </c>
      <c r="G32" s="9" t="n">
        <v>3.65</v>
      </c>
      <c r="H32" s="9" t="n">
        <v>-76.69</v>
      </c>
      <c r="I32" s="6" t="inlineStr">
        <is>
          <t>Municipal aproximada</t>
        </is>
      </c>
      <c r="J32" s="8" t="inlineStr">
        <is>
          <t>Ataque con dos artefactos explosivos lanzados desde drones contra una subestación de Policía, con civiles heridos</t>
        </is>
      </c>
      <c r="K32" s="6" t="inlineStr">
        <is>
          <t>Dron con explosivos</t>
        </is>
      </c>
      <c r="L32" s="6" t="inlineStr">
        <is>
          <t>Fuerza Pública</t>
        </is>
      </c>
      <c r="M32" s="8" t="inlineStr">
        <is>
          <t>Presunto acto terrorista (clasificación analítica provisional)</t>
        </is>
      </c>
      <c r="N32" s="8" t="inlineStr">
        <is>
          <t>No atribuido formalmente: las autoridades señalan a la estructura Jaime Martínez como riesgo en la zona, pero indican que la responsabilidad requiere investigación</t>
        </is>
      </c>
      <c r="O32" s="6" t="inlineStr">
        <is>
          <t>No determinado</t>
        </is>
      </c>
      <c r="P32" s="6" t="inlineStr">
        <is>
          <t>E</t>
        </is>
      </c>
      <c r="Q32" s="6" t="n">
        <v>0</v>
      </c>
      <c r="R32" s="6" t="n">
        <v>0</v>
      </c>
      <c r="S32" s="6" t="n">
        <v>4</v>
      </c>
      <c r="T32" s="6" t="n">
        <v>0</v>
      </c>
      <c r="U32" s="6">
        <f>Q32+R32</f>
        <v/>
      </c>
      <c r="V32" s="6">
        <f>S32+T32</f>
        <v/>
      </c>
      <c r="W32" s="8" t="inlineStr">
        <is>
          <t>Cuatro civiles heridos según el primer balance (esquirlas y aturdimiento); el balance podría no ser definitivo.</t>
        </is>
      </c>
      <c r="X32" s="8" t="inlineStr">
        <is>
          <t>Las fuentes consultadas no recogen una atribución oficial de este ataque; la mención a disidencias proviene de información de prensa.</t>
        </is>
      </c>
      <c r="Y32" s="8" t="inlineStr">
        <is>
          <t>Daños estructurales en la subestación de Policía; el segundo artefacto detonó cerca de un establecimiento comercial.</t>
        </is>
      </c>
      <c r="Z32" s="6" t="inlineStr">
        <is>
          <t>No cuantificado</t>
        </is>
      </c>
      <c r="AA32" s="6" t="inlineStr">
        <is>
          <t>No documentado</t>
        </is>
      </c>
      <c r="AB32" s="6" t="inlineStr">
        <is>
          <t>No documentado</t>
        </is>
      </c>
      <c r="AC32" s="6" t="inlineStr">
        <is>
          <t>Preliminar</t>
        </is>
      </c>
      <c r="AD32" s="10" t="inlineStr">
        <is>
          <t>https://www.diariodelsur.com.co/noticias/ataque-con-explosivos-en-dagua-deja-cuatro-civiles-heridos</t>
        </is>
      </c>
      <c r="AE32" s="10" t="inlineStr">
        <is>
          <t>https://www.semana.com/nacion/articulo/ataque-con-explosivos-aereos-contra-la-policia-en-dagua-enciende-las-alarmas-en-el-valle-del-cauca/202608/</t>
        </is>
      </c>
      <c r="AF32" s="6" t="n"/>
      <c r="AG32" s="6">
        <f>COUNTIF(AD32:AF32,"?*")</f>
        <v/>
      </c>
      <c r="AH32" s="6" t="inlineStr">
        <is>
          <t>2026-10-22</t>
        </is>
      </c>
    </row>
    <row r="33">
      <c r="A33" s="6" t="inlineStr">
        <is>
          <t>CO-2026-032</t>
        </is>
      </c>
      <c r="B33" s="7" t="n">
        <v>46318</v>
      </c>
      <c r="C33" s="6" t="inlineStr">
        <is>
          <t>Madrugada</t>
        </is>
      </c>
      <c r="D33" s="6" t="inlineStr">
        <is>
          <t>Casanare</t>
        </is>
      </c>
      <c r="E33" s="6" t="inlineStr">
        <is>
          <t>Villanueva</t>
        </is>
      </c>
      <c r="F33" s="8" t="inlineStr">
        <is>
          <t>Peaje San Pedro, vía Villanueva–Monterrey</t>
        </is>
      </c>
      <c r="G33" s="9" t="n">
        <v>4.61</v>
      </c>
      <c r="H33" s="9" t="n">
        <v>-72.93000000000001</v>
      </c>
      <c r="I33" s="6" t="inlineStr">
        <is>
          <t>Municipal aproximada</t>
        </is>
      </c>
      <c r="J33" s="8" t="inlineStr">
        <is>
          <t>Explosión de un presunto carro bomba en un peaje; según versiones preliminares, dos hombres dejaron un vehículo y huyeron en motocicleta</t>
        </is>
      </c>
      <c r="K33" s="6" t="inlineStr">
        <is>
          <t>Vehículo con explosivos</t>
        </is>
      </c>
      <c r="L33" s="6" t="inlineStr">
        <is>
          <t>Infraestructura vial</t>
        </is>
      </c>
      <c r="M33" s="8" t="inlineStr">
        <is>
          <t>Presunto acto terrorista (clasificación analítica provisional)</t>
        </is>
      </c>
      <c r="N33" s="8" t="inlineStr">
        <is>
          <t>No atribuido formalmente: la gobernación ofreció recompensa por los responsables y se investiga</t>
        </is>
      </c>
      <c r="O33" s="6" t="inlineStr">
        <is>
          <t>No determinado</t>
        </is>
      </c>
      <c r="P33" s="6" t="inlineStr">
        <is>
          <t>E</t>
        </is>
      </c>
      <c r="Q33" s="6" t="n">
        <v>0</v>
      </c>
      <c r="R33" s="6" t="n">
        <v>0</v>
      </c>
      <c r="S33" s="6" t="n">
        <v>5</v>
      </c>
      <c r="T33" s="6" t="n">
        <v>0</v>
      </c>
      <c r="U33" s="6">
        <f>Q33+R33</f>
        <v/>
      </c>
      <c r="V33" s="6">
        <f>S33+T33</f>
        <v/>
      </c>
      <c r="W33" s="8" t="inlineStr">
        <is>
          <t>Cinco heridos según el último reporte consultado (el primer balance indicaba cuatro).</t>
        </is>
      </c>
      <c r="X33" s="8" t="inlineStr">
        <is>
          <t>Las fuentes consultadas no recogen una atribución oficial; las autoridades investigan el hecho.</t>
        </is>
      </c>
      <c r="Y33" s="8" t="inlineStr">
        <is>
          <t>Destrucción parcial de la estructura, cabinas y oficinas del peaje; tránsito suspendido.</t>
        </is>
      </c>
      <c r="Z33" s="6" t="inlineStr">
        <is>
          <t>No cuantificado</t>
        </is>
      </c>
      <c r="AA33" s="6" t="inlineStr">
        <is>
          <t>No documentado</t>
        </is>
      </c>
      <c r="AB33" s="6" t="inlineStr">
        <is>
          <t>Cierre temporal de la vía</t>
        </is>
      </c>
      <c r="AC33" s="6" t="inlineStr">
        <is>
          <t>Preliminar</t>
        </is>
      </c>
      <c r="AD33" s="10" t="inlineStr">
        <is>
          <t>https://www.infobae.com/colombia/2026/10/23/explosion-de-un-presunto-carro-bomba-en-peaje-de-casanare-deja-cuatro-heridos-investigan-atentado/</t>
        </is>
      </c>
      <c r="AE33" s="10" t="inlineStr">
        <is>
          <t>https://www.noticiasrcn.com/colombia/artefacto-explosivo-detono-al-paso-de-patrulla-en-puerto-santander-1074715</t>
        </is>
      </c>
      <c r="AF33" s="6" t="n"/>
      <c r="AG33" s="6">
        <f>COUNTIF(AD33:AF33,"?*")</f>
        <v/>
      </c>
      <c r="AH33" s="6" t="inlineStr">
        <is>
          <t>2026-10-24</t>
        </is>
      </c>
    </row>
    <row r="34">
      <c r="A34" s="6" t="inlineStr">
        <is>
          <t>CO-2026-033</t>
        </is>
      </c>
      <c r="B34" s="7" t="n">
        <v>46318</v>
      </c>
      <c r="C34" s="6" t="inlineStr">
        <is>
          <t>Día</t>
        </is>
      </c>
      <c r="D34" s="6" t="inlineStr">
        <is>
          <t>Cauca</t>
        </is>
      </c>
      <c r="E34" s="6" t="inlineStr">
        <is>
          <t>Guapi</t>
        </is>
      </c>
      <c r="F34" s="6" t="inlineStr">
        <is>
          <t>Sector Bonanza, zona rural</t>
        </is>
      </c>
      <c r="G34" s="9" t="n">
        <v>2.57</v>
      </c>
      <c r="H34" s="9" t="n">
        <v>-77.89</v>
      </c>
      <c r="I34" s="6" t="inlineStr">
        <is>
          <t>Municipal aproximada</t>
        </is>
      </c>
      <c r="J34" s="8" t="inlineStr">
        <is>
          <t>Ataque con artefactos explosivos lanzados desde drones contra unidades de la Armada Nacional que adelantaban operaciones</t>
        </is>
      </c>
      <c r="K34" s="6" t="inlineStr">
        <is>
          <t>Dron con explosivos</t>
        </is>
      </c>
      <c r="L34" s="6" t="inlineStr">
        <is>
          <t>Fuerza Pública</t>
        </is>
      </c>
      <c r="M34" s="8" t="inlineStr">
        <is>
          <t>Presunto acto terrorista (clasificación analítica provisional)</t>
        </is>
      </c>
      <c r="N34" s="8" t="inlineStr">
        <is>
          <t>Estructura 30 «Jhonier Toro Arenas», Bloque Occidental «Jacobo Arenas» de las disidencias de las Farc (atribución preliminar de las autoridades)</t>
        </is>
      </c>
      <c r="O34" s="6" t="inlineStr">
        <is>
          <t>Disidencias FARC</t>
        </is>
      </c>
      <c r="P34" s="6" t="inlineStr">
        <is>
          <t>B</t>
        </is>
      </c>
      <c r="Q34" s="6" t="n">
        <v>0</v>
      </c>
      <c r="R34" s="6" t="n">
        <v>1</v>
      </c>
      <c r="S34" s="6" t="n">
        <v>0</v>
      </c>
      <c r="T34" s="6" t="n">
        <v>4</v>
      </c>
      <c r="U34" s="6">
        <f>Q34+R34</f>
        <v/>
      </c>
      <c r="V34" s="6">
        <f>S34+T34</f>
        <v/>
      </c>
      <c r="W34" s="8" t="inlineStr">
        <is>
          <t>Un infante de Marina muerto y cuatro uniformados heridos (tres infantes de Marina profesionales y un suboficial), evacuados a Cali.</t>
        </is>
      </c>
      <c r="X34" s="8" t="inlineStr">
        <is>
          <t>Según información preliminar de las autoridades, el ataque lo habrían cometido integrantes de esa estructura; es una hipótesis oficial, no una conclusión confirmada.</t>
        </is>
      </c>
      <c r="Y34" s="8" t="inlineStr">
        <is>
          <t>Daños en la lancha utilizada por la unidad.</t>
        </is>
      </c>
      <c r="Z34" s="6" t="inlineStr">
        <is>
          <t>No cuantificado</t>
        </is>
      </c>
      <c r="AA34" s="6" t="inlineStr">
        <is>
          <t>No documentado</t>
        </is>
      </c>
      <c r="AB34" s="6" t="inlineStr">
        <is>
          <t>No documentado</t>
        </is>
      </c>
      <c r="AC34" s="6" t="inlineStr">
        <is>
          <t>Preliminar</t>
        </is>
      </c>
      <c r="AD34" s="10" t="inlineStr">
        <is>
          <t>https://www.elpais.com.co/judicial/un-infante-de-marina-murio-y-cuatro-militares-resultaron-heridos-tras-ataque-con-explosivos-en-zona-rural-de-guapi-2343.html</t>
        </is>
      </c>
      <c r="AE34" s="10" t="inlineStr">
        <is>
          <t>https://www.eluniversal.com.co/sucesos/2026/10/24/edwin-andres-vargas-el-infante-de-marina-que-murio-en-ataque-con-dron/</t>
        </is>
      </c>
      <c r="AF34" s="6" t="n"/>
      <c r="AG34" s="6">
        <f>COUNTIF(AD34:AF34,"?*")</f>
        <v/>
      </c>
      <c r="AH34" s="6" t="inlineStr">
        <is>
          <t>2026-10-25</t>
        </is>
      </c>
    </row>
    <row r="35">
      <c r="A35" s="6" t="inlineStr">
        <is>
          <t>CO-2026-034</t>
        </is>
      </c>
      <c r="B35" s="7" t="n">
        <v>46318</v>
      </c>
      <c r="C35" s="6" t="inlineStr">
        <is>
          <t>Madrugada</t>
        </is>
      </c>
      <c r="D35" s="6" t="inlineStr">
        <is>
          <t>Norte de Santander</t>
        </is>
      </c>
      <c r="E35" s="6" t="inlineStr">
        <is>
          <t>Puerto Santander</t>
        </is>
      </c>
      <c r="F35" s="8" t="inlineStr">
        <is>
          <t>Vía urbana, área metropolitana de Cúcuta</t>
        </is>
      </c>
      <c r="G35" s="9" t="n">
        <v>8.359999999999999</v>
      </c>
      <c r="H35" s="9" t="n">
        <v>-72.41</v>
      </c>
      <c r="I35" s="6" t="inlineStr">
        <is>
          <t>Municipal aproximada</t>
        </is>
      </c>
      <c r="J35" s="8" t="inlineStr">
        <is>
          <t>Detonación de un artefacto explosivo instalado al paso de una patrulla motorizada de la Policía</t>
        </is>
      </c>
      <c r="K35" s="6" t="inlineStr">
        <is>
          <t>Explosivo / IED</t>
        </is>
      </c>
      <c r="L35" s="6" t="inlineStr">
        <is>
          <t>Fuerza Pública</t>
        </is>
      </c>
      <c r="M35" s="8" t="inlineStr">
        <is>
          <t>Presunto acto terrorista (clasificación analítica provisional)</t>
        </is>
      </c>
      <c r="N35" s="8" t="inlineStr">
        <is>
          <t>No atribuido formalmente: las autoridades investigan</t>
        </is>
      </c>
      <c r="O35" s="6" t="inlineStr">
        <is>
          <t>No determinado</t>
        </is>
      </c>
      <c r="P35" s="6" t="inlineStr">
        <is>
          <t>E</t>
        </is>
      </c>
      <c r="Q35" s="6" t="n">
        <v>0</v>
      </c>
      <c r="R35" s="6" t="n">
        <v>0</v>
      </c>
      <c r="S35" s="6" t="n">
        <v>0</v>
      </c>
      <c r="T35" s="6" t="n">
        <v>0</v>
      </c>
      <c r="U35" s="6">
        <f>Q35+R35</f>
        <v/>
      </c>
      <c r="V35" s="6">
        <f>S35+T35</f>
        <v/>
      </c>
      <c r="W35" s="6" t="inlineStr">
        <is>
          <t>Uniformados ilesos.</t>
        </is>
      </c>
      <c r="X35" s="8" t="inlineStr">
        <is>
          <t>La fuente consultada no recoge una atribución oficial.</t>
        </is>
      </c>
      <c r="Y35" s="8" t="inlineStr">
        <is>
          <t>Afectación de la vía (tierra y material vegetal sobre la calzada); sin mayores daños.</t>
        </is>
      </c>
      <c r="Z35" s="6" t="inlineStr">
        <is>
          <t>No cuantificado</t>
        </is>
      </c>
      <c r="AA35" s="6" t="inlineStr">
        <is>
          <t>No documentado</t>
        </is>
      </c>
      <c r="AB35" s="6" t="inlineStr">
        <is>
          <t>No documentado</t>
        </is>
      </c>
      <c r="AC35" s="6" t="inlineStr">
        <is>
          <t>Preliminar</t>
        </is>
      </c>
      <c r="AD35" s="10" t="inlineStr">
        <is>
          <t>https://www.noticiasrcn.com/colombia/artefacto-explosivo-detono-al-paso-de-patrulla-en-puerto-santander-1074715</t>
        </is>
      </c>
      <c r="AE35" s="6" t="n"/>
      <c r="AF35" s="6" t="n"/>
      <c r="AG35" s="6">
        <f>COUNTIF(AD35:AF35,"?*")</f>
        <v/>
      </c>
      <c r="AH35" s="6" t="inlineStr">
        <is>
          <t>2026-10-24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D3" r:id="rId2"/>
    <hyperlink xmlns:r="http://schemas.openxmlformats.org/officeDocument/2006/relationships" ref="AE3" r:id="rId3"/>
    <hyperlink xmlns:r="http://schemas.openxmlformats.org/officeDocument/2006/relationships" ref="AD4" r:id="rId4"/>
    <hyperlink xmlns:r="http://schemas.openxmlformats.org/officeDocument/2006/relationships" ref="AE4" r:id="rId5"/>
    <hyperlink xmlns:r="http://schemas.openxmlformats.org/officeDocument/2006/relationships" ref="AF4" r:id="rId6"/>
    <hyperlink xmlns:r="http://schemas.openxmlformats.org/officeDocument/2006/relationships" ref="AD5" r:id="rId7"/>
    <hyperlink xmlns:r="http://schemas.openxmlformats.org/officeDocument/2006/relationships" ref="AE5" r:id="rId8"/>
    <hyperlink xmlns:r="http://schemas.openxmlformats.org/officeDocument/2006/relationships" ref="AD6" r:id="rId9"/>
    <hyperlink xmlns:r="http://schemas.openxmlformats.org/officeDocument/2006/relationships" ref="AE6" r:id="rId10"/>
    <hyperlink xmlns:r="http://schemas.openxmlformats.org/officeDocument/2006/relationships" ref="AF6" r:id="rId11"/>
    <hyperlink xmlns:r="http://schemas.openxmlformats.org/officeDocument/2006/relationships" ref="AD7" r:id="rId12"/>
    <hyperlink xmlns:r="http://schemas.openxmlformats.org/officeDocument/2006/relationships" ref="AE7" r:id="rId13"/>
    <hyperlink xmlns:r="http://schemas.openxmlformats.org/officeDocument/2006/relationships" ref="AD8" r:id="rId14"/>
    <hyperlink xmlns:r="http://schemas.openxmlformats.org/officeDocument/2006/relationships" ref="AE8" r:id="rId15"/>
    <hyperlink xmlns:r="http://schemas.openxmlformats.org/officeDocument/2006/relationships" ref="AF8" r:id="rId16"/>
    <hyperlink xmlns:r="http://schemas.openxmlformats.org/officeDocument/2006/relationships" ref="AD9" r:id="rId17"/>
    <hyperlink xmlns:r="http://schemas.openxmlformats.org/officeDocument/2006/relationships" ref="AD10" r:id="rId18"/>
    <hyperlink xmlns:r="http://schemas.openxmlformats.org/officeDocument/2006/relationships" ref="AE10" r:id="rId19"/>
    <hyperlink xmlns:r="http://schemas.openxmlformats.org/officeDocument/2006/relationships" ref="AF10" r:id="rId20"/>
    <hyperlink xmlns:r="http://schemas.openxmlformats.org/officeDocument/2006/relationships" ref="AD11" r:id="rId21"/>
    <hyperlink xmlns:r="http://schemas.openxmlformats.org/officeDocument/2006/relationships" ref="AE11" r:id="rId22"/>
    <hyperlink xmlns:r="http://schemas.openxmlformats.org/officeDocument/2006/relationships" ref="AD12" r:id="rId23"/>
    <hyperlink xmlns:r="http://schemas.openxmlformats.org/officeDocument/2006/relationships" ref="AE12" r:id="rId24"/>
    <hyperlink xmlns:r="http://schemas.openxmlformats.org/officeDocument/2006/relationships" ref="AF12" r:id="rId25"/>
    <hyperlink xmlns:r="http://schemas.openxmlformats.org/officeDocument/2006/relationships" ref="AD13" r:id="rId26"/>
    <hyperlink xmlns:r="http://schemas.openxmlformats.org/officeDocument/2006/relationships" ref="AE13" r:id="rId27"/>
    <hyperlink xmlns:r="http://schemas.openxmlformats.org/officeDocument/2006/relationships" ref="AD14" r:id="rId28"/>
    <hyperlink xmlns:r="http://schemas.openxmlformats.org/officeDocument/2006/relationships" ref="AE14" r:id="rId29"/>
    <hyperlink xmlns:r="http://schemas.openxmlformats.org/officeDocument/2006/relationships" ref="AD15" r:id="rId30"/>
    <hyperlink xmlns:r="http://schemas.openxmlformats.org/officeDocument/2006/relationships" ref="AE15" r:id="rId31"/>
    <hyperlink xmlns:r="http://schemas.openxmlformats.org/officeDocument/2006/relationships" ref="AD16" r:id="rId32"/>
    <hyperlink xmlns:r="http://schemas.openxmlformats.org/officeDocument/2006/relationships" ref="AE16" r:id="rId33"/>
    <hyperlink xmlns:r="http://schemas.openxmlformats.org/officeDocument/2006/relationships" ref="AD17" r:id="rId34"/>
    <hyperlink xmlns:r="http://schemas.openxmlformats.org/officeDocument/2006/relationships" ref="AE17" r:id="rId35"/>
    <hyperlink xmlns:r="http://schemas.openxmlformats.org/officeDocument/2006/relationships" ref="AD18" r:id="rId36"/>
    <hyperlink xmlns:r="http://schemas.openxmlformats.org/officeDocument/2006/relationships" ref="AE18" r:id="rId37"/>
    <hyperlink xmlns:r="http://schemas.openxmlformats.org/officeDocument/2006/relationships" ref="AD19" r:id="rId38"/>
    <hyperlink xmlns:r="http://schemas.openxmlformats.org/officeDocument/2006/relationships" ref="AD20" r:id="rId39"/>
    <hyperlink xmlns:r="http://schemas.openxmlformats.org/officeDocument/2006/relationships" ref="AD21" r:id="rId40"/>
    <hyperlink xmlns:r="http://schemas.openxmlformats.org/officeDocument/2006/relationships" ref="AD22" r:id="rId41"/>
    <hyperlink xmlns:r="http://schemas.openxmlformats.org/officeDocument/2006/relationships" ref="AE22" r:id="rId42"/>
    <hyperlink xmlns:r="http://schemas.openxmlformats.org/officeDocument/2006/relationships" ref="AF22" r:id="rId43"/>
    <hyperlink xmlns:r="http://schemas.openxmlformats.org/officeDocument/2006/relationships" ref="AD23" r:id="rId44"/>
    <hyperlink xmlns:r="http://schemas.openxmlformats.org/officeDocument/2006/relationships" ref="AE23" r:id="rId45"/>
    <hyperlink xmlns:r="http://schemas.openxmlformats.org/officeDocument/2006/relationships" ref="AD24" r:id="rId46"/>
    <hyperlink xmlns:r="http://schemas.openxmlformats.org/officeDocument/2006/relationships" ref="AE24" r:id="rId47"/>
    <hyperlink xmlns:r="http://schemas.openxmlformats.org/officeDocument/2006/relationships" ref="AF24" r:id="rId48"/>
    <hyperlink xmlns:r="http://schemas.openxmlformats.org/officeDocument/2006/relationships" ref="AD25" r:id="rId49"/>
    <hyperlink xmlns:r="http://schemas.openxmlformats.org/officeDocument/2006/relationships" ref="AE25" r:id="rId50"/>
    <hyperlink xmlns:r="http://schemas.openxmlformats.org/officeDocument/2006/relationships" ref="AD26" r:id="rId51"/>
    <hyperlink xmlns:r="http://schemas.openxmlformats.org/officeDocument/2006/relationships" ref="AE26" r:id="rId52"/>
    <hyperlink xmlns:r="http://schemas.openxmlformats.org/officeDocument/2006/relationships" ref="AF26" r:id="rId53"/>
    <hyperlink xmlns:r="http://schemas.openxmlformats.org/officeDocument/2006/relationships" ref="AD27" r:id="rId54"/>
    <hyperlink xmlns:r="http://schemas.openxmlformats.org/officeDocument/2006/relationships" ref="AE27" r:id="rId55"/>
    <hyperlink xmlns:r="http://schemas.openxmlformats.org/officeDocument/2006/relationships" ref="AD28" r:id="rId56"/>
    <hyperlink xmlns:r="http://schemas.openxmlformats.org/officeDocument/2006/relationships" ref="AD29" r:id="rId57"/>
    <hyperlink xmlns:r="http://schemas.openxmlformats.org/officeDocument/2006/relationships" ref="AE29" r:id="rId58"/>
    <hyperlink xmlns:r="http://schemas.openxmlformats.org/officeDocument/2006/relationships" ref="AF29" r:id="rId59"/>
    <hyperlink xmlns:r="http://schemas.openxmlformats.org/officeDocument/2006/relationships" ref="AD30" r:id="rId60"/>
    <hyperlink xmlns:r="http://schemas.openxmlformats.org/officeDocument/2006/relationships" ref="AE30" r:id="rId61"/>
    <hyperlink xmlns:r="http://schemas.openxmlformats.org/officeDocument/2006/relationships" ref="AF30" r:id="rId62"/>
    <hyperlink xmlns:r="http://schemas.openxmlformats.org/officeDocument/2006/relationships" ref="AD31" r:id="rId63"/>
    <hyperlink xmlns:r="http://schemas.openxmlformats.org/officeDocument/2006/relationships" ref="AD32" r:id="rId64"/>
    <hyperlink xmlns:r="http://schemas.openxmlformats.org/officeDocument/2006/relationships" ref="AE32" r:id="rId65"/>
    <hyperlink xmlns:r="http://schemas.openxmlformats.org/officeDocument/2006/relationships" ref="AD33" r:id="rId66"/>
    <hyperlink xmlns:r="http://schemas.openxmlformats.org/officeDocument/2006/relationships" ref="AE33" r:id="rId67"/>
    <hyperlink xmlns:r="http://schemas.openxmlformats.org/officeDocument/2006/relationships" ref="AD34" r:id="rId68"/>
    <hyperlink xmlns:r="http://schemas.openxmlformats.org/officeDocument/2006/relationships" ref="AE34" r:id="rId69"/>
    <hyperlink xmlns:r="http://schemas.openxmlformats.org/officeDocument/2006/relationships" ref="AD35" r:id="rId70"/>
  </hyperlinks>
  <pageMargins left="0.75" right="0.75" top="1" bottom="1" header="0.5" footer="0.5"/>
  <tableParts count="1">
    <tablePart xmlns:r="http://schemas.openxmlformats.org/officeDocument/2006/relationships" r:id="rId7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Indicadores (todas las cifras se calculan con fórmulas sobre la hoja Incidentes)</t>
        </is>
      </c>
    </row>
    <row r="3">
      <c r="A3" s="5" t="inlineStr">
        <is>
          <t>Indicador</t>
        </is>
      </c>
      <c r="B3" s="5" t="inlineStr">
        <is>
          <t>Valor</t>
        </is>
      </c>
    </row>
    <row r="4">
      <c r="A4" s="6" t="inlineStr">
        <is>
          <t>Incidentes</t>
        </is>
      </c>
      <c r="B4" s="11">
        <f>COUNTA(Incidentes!$A$2:$A$35)</f>
        <v/>
      </c>
    </row>
    <row r="5">
      <c r="A5" s="6" t="inlineStr">
        <is>
          <t>Fallecidos</t>
        </is>
      </c>
      <c r="B5" s="11">
        <f>SUM(Incidentes!$U$2:$U$35)</f>
        <v/>
      </c>
    </row>
    <row r="6">
      <c r="A6" s="6" t="inlineStr">
        <is>
          <t xml:space="preserve">  de ellos, Fuerza Pública</t>
        </is>
      </c>
      <c r="B6" s="11">
        <f>SUM(Incidentes!$R$2:$R$35)</f>
        <v/>
      </c>
    </row>
    <row r="7">
      <c r="A7" s="6" t="inlineStr">
        <is>
          <t xml:space="preserve">  de ellos, civiles</t>
        </is>
      </c>
      <c r="B7" s="11">
        <f>SUM(Incidentes!$Q$2:$Q$35)</f>
        <v/>
      </c>
    </row>
    <row r="8">
      <c r="A8" s="6" t="inlineStr">
        <is>
          <t>Heridos</t>
        </is>
      </c>
      <c r="B8" s="11">
        <f>SUM(Incidentes!$V$2:$V$35)</f>
        <v/>
      </c>
    </row>
    <row r="9">
      <c r="A9" s="6" t="inlineStr">
        <is>
          <t xml:space="preserve">  de ellos, Fuerza Pública</t>
        </is>
      </c>
      <c r="B9" s="11">
        <f>SUM(Incidentes!$T$2:$T$35)</f>
        <v/>
      </c>
    </row>
    <row r="10">
      <c r="A10" s="6" t="inlineStr">
        <is>
          <t xml:space="preserve">  de ellos, civiles</t>
        </is>
      </c>
      <c r="B10" s="11">
        <f>SUM(Incidentes!$S$2:$S$35)</f>
        <v/>
      </c>
    </row>
    <row r="11">
      <c r="A11" s="6" t="inlineStr">
        <is>
          <t>Civiles afectados (fallecidos + heridos)</t>
        </is>
      </c>
      <c r="B11" s="11">
        <f>B7+B10</f>
        <v/>
      </c>
    </row>
    <row r="12">
      <c r="A12" s="6" t="inlineStr">
        <is>
          <t>Departamentos con incidentes</t>
        </is>
      </c>
      <c r="B12" s="11">
        <f>SUMPRODUCT(1/COUNTIF(Incidentes!$D$2:$D$35,Incidentes!$D$2:$D$35))</f>
        <v/>
      </c>
    </row>
    <row r="13">
      <c r="A13" s="6" t="inlineStr">
        <is>
          <t>Municipios con incidentes</t>
        </is>
      </c>
      <c r="B13" s="11">
        <f>SUMPRODUCT(1/COUNTIFS(Incidentes!$D$2:$D$35,Incidentes!$D$2:$D$35,Incidentes!$E$2:$E$35,Incidentes!$E$2:$E$35))</f>
        <v/>
      </c>
    </row>
    <row r="14">
      <c r="A14" s="6" t="inlineStr">
        <is>
          <t>Atribuidos al ELN (presunto)</t>
        </is>
      </c>
      <c r="B14" s="11">
        <f>COUNTIF(Incidentes!$O$2:$O$35,"ELN")</f>
        <v/>
      </c>
    </row>
    <row r="15">
      <c r="A15" s="6" t="inlineStr">
        <is>
          <t>Atribuidos a disidencias de las FARC (presunto)</t>
        </is>
      </c>
      <c r="B15" s="11">
        <f>COUNTIF(Incidentes!$O$2:$O$35,"Disidencias FARC")</f>
        <v/>
      </c>
    </row>
    <row r="16">
      <c r="A16" s="6" t="inlineStr">
        <is>
          <t>Otros actores</t>
        </is>
      </c>
      <c r="B16" s="11">
        <f>B4-B14-B15-COUNTIF(Incidentes!$O$2:$O$35,"No determinado")</f>
        <v/>
      </c>
    </row>
    <row r="17">
      <c r="A17" s="6" t="inlineStr">
        <is>
          <t>Autoría desconocida (atribución E)</t>
        </is>
      </c>
      <c r="B17" s="11">
        <f>COUNTIF(Incidentes!$P$2:$P$35,"E")</f>
        <v/>
      </c>
    </row>
    <row r="18">
      <c r="A18" s="6" t="inlineStr">
        <is>
          <t>% sin autor determinado</t>
        </is>
      </c>
      <c r="B18" s="12">
        <f>B17/B4</f>
        <v/>
      </c>
    </row>
    <row r="19">
      <c r="A19" s="6" t="inlineStr">
        <is>
          <t>Registros con fuente única</t>
        </is>
      </c>
      <c r="B19" s="11">
        <f>COUNTIF(Incidentes!$AG$2:$AG$35,1)</f>
        <v/>
      </c>
    </row>
    <row r="20">
      <c r="A20" s="6" t="inlineStr">
        <is>
          <t>% con información incompleta (fuente única, preliminar o en investigación)</t>
        </is>
      </c>
      <c r="B20" s="12">
        <f>SUMPRODUCT(--(((Incidentes!$AG$2:$AG$35=1)+ISNUMBER(SEARCH("Preliminar",Incidentes!$AC$2:$AC$35))+ISNUMBER(SEARCH("investigación",Incidentes!$AC$2:$AC$35)))&gt;0))/B4</f>
        <v/>
      </c>
    </row>
    <row r="23">
      <c r="A23" s="5" t="inlineStr">
        <is>
          <t>Por grupo</t>
        </is>
      </c>
      <c r="B23" s="5" t="inlineStr">
        <is>
          <t>Incidentes</t>
        </is>
      </c>
      <c r="C23" s="5" t="inlineStr">
        <is>
          <t>Fallecidos</t>
        </is>
      </c>
      <c r="D23" s="5" t="inlineStr">
        <is>
          <t>Heridos</t>
        </is>
      </c>
    </row>
    <row r="24">
      <c r="A24" s="6" t="inlineStr">
        <is>
          <t>ELN</t>
        </is>
      </c>
      <c r="B24" s="6">
        <f>COUNTIF(Incidentes!$O$2:$O$35,A24)</f>
        <v/>
      </c>
      <c r="C24" s="6">
        <f>SUMIF(Incidentes!$O$2:$O$35,A24,Incidentes!$U$2:$U$35)</f>
        <v/>
      </c>
      <c r="D24" s="6">
        <f>SUMIF(Incidentes!$O$2:$O$35,A24,Incidentes!$V$2:$V$35)</f>
        <v/>
      </c>
    </row>
    <row r="25">
      <c r="A25" s="6" t="inlineStr">
        <is>
          <t>Disidencias FARC</t>
        </is>
      </c>
      <c r="B25" s="6">
        <f>COUNTIF(Incidentes!$O$2:$O$35,A25)</f>
        <v/>
      </c>
      <c r="C25" s="6">
        <f>SUMIF(Incidentes!$O$2:$O$35,A25,Incidentes!$U$2:$U$35)</f>
        <v/>
      </c>
      <c r="D25" s="6">
        <f>SUMIF(Incidentes!$O$2:$O$35,A25,Incidentes!$V$2:$V$35)</f>
        <v/>
      </c>
    </row>
    <row r="26">
      <c r="A26" s="6" t="inlineStr">
        <is>
          <t>Clan del Golfo / EGC</t>
        </is>
      </c>
      <c r="B26" s="6">
        <f>COUNTIF(Incidentes!$O$2:$O$35,A26)</f>
        <v/>
      </c>
      <c r="C26" s="6">
        <f>SUMIF(Incidentes!$O$2:$O$35,A26,Incidentes!$U$2:$U$35)</f>
        <v/>
      </c>
      <c r="D26" s="6">
        <f>SUMIF(Incidentes!$O$2:$O$35,A26,Incidentes!$V$2:$V$35)</f>
        <v/>
      </c>
    </row>
    <row r="27">
      <c r="A27" s="6" t="inlineStr">
        <is>
          <t>ACSN</t>
        </is>
      </c>
      <c r="B27" s="6">
        <f>COUNTIF(Incidentes!$O$2:$O$35,A27)</f>
        <v/>
      </c>
      <c r="C27" s="6">
        <f>SUMIF(Incidentes!$O$2:$O$35,A27,Incidentes!$U$2:$U$35)</f>
        <v/>
      </c>
      <c r="D27" s="6">
        <f>SUMIF(Incidentes!$O$2:$O$35,A27,Incidentes!$V$2:$V$35)</f>
        <v/>
      </c>
    </row>
    <row r="28">
      <c r="A28" s="6" t="inlineStr">
        <is>
          <t>Autor individual (capturado)</t>
        </is>
      </c>
      <c r="B28" s="6">
        <f>COUNTIF(Incidentes!$O$2:$O$35,A28)</f>
        <v/>
      </c>
      <c r="C28" s="6">
        <f>SUMIF(Incidentes!$O$2:$O$35,A28,Incidentes!$U$2:$U$35)</f>
        <v/>
      </c>
      <c r="D28" s="6">
        <f>SUMIF(Incidentes!$O$2:$O$35,A28,Incidentes!$V$2:$V$35)</f>
        <v/>
      </c>
    </row>
    <row r="29">
      <c r="A29" s="6" t="inlineStr">
        <is>
          <t>No determinado</t>
        </is>
      </c>
      <c r="B29" s="6">
        <f>COUNTIF(Incidentes!$O$2:$O$35,A29)</f>
        <v/>
      </c>
      <c r="C29" s="6">
        <f>SUMIF(Incidentes!$O$2:$O$35,A29,Incidentes!$U$2:$U$35)</f>
        <v/>
      </c>
      <c r="D29" s="6">
        <f>SUMIF(Incidentes!$O$2:$O$35,A29,Incidentes!$V$2:$V$35)</f>
        <v/>
      </c>
    </row>
    <row r="32">
      <c r="A32" s="5" t="inlineStr">
        <is>
          <t>Por tipo de atribución</t>
        </is>
      </c>
      <c r="B32" s="5" t="inlineStr">
        <is>
          <t>Incidentes</t>
        </is>
      </c>
    </row>
    <row r="33">
      <c r="A33" s="6" t="inlineStr">
        <is>
          <t>A · Judicial</t>
        </is>
      </c>
      <c r="B33" s="6">
        <f>COUNTIF(Incidentes!$P$2:$P$35,"A")</f>
        <v/>
      </c>
    </row>
    <row r="34">
      <c r="A34" s="6" t="inlineStr">
        <is>
          <t>B · Oficial</t>
        </is>
      </c>
      <c r="B34" s="6">
        <f>COUNTIF(Incidentes!$P$2:$P$35,"B")</f>
        <v/>
      </c>
    </row>
    <row r="35">
      <c r="A35" s="6" t="inlineStr">
        <is>
          <t>C · Reivindicada</t>
        </is>
      </c>
      <c r="B35" s="6">
        <f>COUNTIF(Incidentes!$P$2:$P$35,"C")</f>
        <v/>
      </c>
    </row>
    <row r="36">
      <c r="A36" s="6" t="inlineStr">
        <is>
          <t>D · Hipótesis periodística o de terceros</t>
        </is>
      </c>
      <c r="B36" s="6">
        <f>COUNTIF(Incidentes!$P$2:$P$35,"D")</f>
        <v/>
      </c>
    </row>
    <row r="37">
      <c r="A37" s="6" t="inlineStr">
        <is>
          <t>E · Desconocida</t>
        </is>
      </c>
      <c r="B37" s="6">
        <f>COUNTIF(Incidentes!$P$2:$P$35,"E")</f>
        <v/>
      </c>
    </row>
    <row r="40">
      <c r="A40" s="5" t="inlineStr">
        <is>
          <t>Por departamento</t>
        </is>
      </c>
      <c r="B40" s="5" t="inlineStr">
        <is>
          <t>Incidentes</t>
        </is>
      </c>
      <c r="C40" s="5" t="inlineStr">
        <is>
          <t>Fallecidos</t>
        </is>
      </c>
      <c r="D40" s="5" t="inlineStr">
        <is>
          <t>Heridos</t>
        </is>
      </c>
      <c r="E40" s="5" t="inlineStr">
        <is>
          <t>Sin autor (E)</t>
        </is>
      </c>
      <c r="F40" s="5" t="inlineStr">
        <is>
          <t>% sin autor</t>
        </is>
      </c>
    </row>
    <row r="41">
      <c r="A41" s="6" t="inlineStr">
        <is>
          <t>Arauca</t>
        </is>
      </c>
      <c r="B41" s="6">
        <f>COUNTIF(Incidentes!$D$2:$D$35,A41)</f>
        <v/>
      </c>
      <c r="C41" s="6">
        <f>SUMIF(Incidentes!$D$2:$D$35,A41,Incidentes!$U$2:$U$35)</f>
        <v/>
      </c>
      <c r="D41" s="6">
        <f>SUMIF(Incidentes!$D$2:$D$35,A41,Incidentes!$V$2:$V$35)</f>
        <v/>
      </c>
      <c r="E41" s="6">
        <f>COUNTIFS(Incidentes!$D$2:$D$35,A41,Incidentes!$P$2:$P$35,"E")</f>
        <v/>
      </c>
      <c r="F41" s="13">
        <f>E41/B41</f>
        <v/>
      </c>
    </row>
    <row r="42">
      <c r="A42" s="6" t="inlineStr">
        <is>
          <t>Casanare</t>
        </is>
      </c>
      <c r="B42" s="6">
        <f>COUNTIF(Incidentes!$D$2:$D$35,A42)</f>
        <v/>
      </c>
      <c r="C42" s="6">
        <f>SUMIF(Incidentes!$D$2:$D$35,A42,Incidentes!$U$2:$U$35)</f>
        <v/>
      </c>
      <c r="D42" s="6">
        <f>SUMIF(Incidentes!$D$2:$D$35,A42,Incidentes!$V$2:$V$35)</f>
        <v/>
      </c>
      <c r="E42" s="6">
        <f>COUNTIFS(Incidentes!$D$2:$D$35,A42,Incidentes!$P$2:$P$35,"E")</f>
        <v/>
      </c>
      <c r="F42" s="13">
        <f>E42/B42</f>
        <v/>
      </c>
    </row>
    <row r="43">
      <c r="A43" s="6" t="inlineStr">
        <is>
          <t>Cauca</t>
        </is>
      </c>
      <c r="B43" s="6">
        <f>COUNTIF(Incidentes!$D$2:$D$35,A43)</f>
        <v/>
      </c>
      <c r="C43" s="6">
        <f>SUMIF(Incidentes!$D$2:$D$35,A43,Incidentes!$U$2:$U$35)</f>
        <v/>
      </c>
      <c r="D43" s="6">
        <f>SUMIF(Incidentes!$D$2:$D$35,A43,Incidentes!$V$2:$V$35)</f>
        <v/>
      </c>
      <c r="E43" s="6">
        <f>COUNTIFS(Incidentes!$D$2:$D$35,A43,Incidentes!$P$2:$P$35,"E")</f>
        <v/>
      </c>
      <c r="F43" s="13">
        <f>E43/B43</f>
        <v/>
      </c>
    </row>
    <row r="44">
      <c r="A44" s="6" t="inlineStr">
        <is>
          <t>Cesar</t>
        </is>
      </c>
      <c r="B44" s="6">
        <f>COUNTIF(Incidentes!$D$2:$D$35,A44)</f>
        <v/>
      </c>
      <c r="C44" s="6">
        <f>SUMIF(Incidentes!$D$2:$D$35,A44,Incidentes!$U$2:$U$35)</f>
        <v/>
      </c>
      <c r="D44" s="6">
        <f>SUMIF(Incidentes!$D$2:$D$35,A44,Incidentes!$V$2:$V$35)</f>
        <v/>
      </c>
      <c r="E44" s="6">
        <f>COUNTIFS(Incidentes!$D$2:$D$35,A44,Incidentes!$P$2:$P$35,"E")</f>
        <v/>
      </c>
      <c r="F44" s="13">
        <f>E44/B44</f>
        <v/>
      </c>
    </row>
    <row r="45">
      <c r="A45" s="6" t="inlineStr">
        <is>
          <t>Chocó</t>
        </is>
      </c>
      <c r="B45" s="6">
        <f>COUNTIF(Incidentes!$D$2:$D$35,A45)</f>
        <v/>
      </c>
      <c r="C45" s="6">
        <f>SUMIF(Incidentes!$D$2:$D$35,A45,Incidentes!$U$2:$U$35)</f>
        <v/>
      </c>
      <c r="D45" s="6">
        <f>SUMIF(Incidentes!$D$2:$D$35,A45,Incidentes!$V$2:$V$35)</f>
        <v/>
      </c>
      <c r="E45" s="6">
        <f>COUNTIFS(Incidentes!$D$2:$D$35,A45,Incidentes!$P$2:$P$35,"E")</f>
        <v/>
      </c>
      <c r="F45" s="13">
        <f>E45/B45</f>
        <v/>
      </c>
    </row>
    <row r="46">
      <c r="A46" s="6" t="inlineStr">
        <is>
          <t>Huila</t>
        </is>
      </c>
      <c r="B46" s="6">
        <f>COUNTIF(Incidentes!$D$2:$D$35,A46)</f>
        <v/>
      </c>
      <c r="C46" s="6">
        <f>SUMIF(Incidentes!$D$2:$D$35,A46,Incidentes!$U$2:$U$35)</f>
        <v/>
      </c>
      <c r="D46" s="6">
        <f>SUMIF(Incidentes!$D$2:$D$35,A46,Incidentes!$V$2:$V$35)</f>
        <v/>
      </c>
      <c r="E46" s="6">
        <f>COUNTIFS(Incidentes!$D$2:$D$35,A46,Incidentes!$P$2:$P$35,"E")</f>
        <v/>
      </c>
      <c r="F46" s="13">
        <f>E46/B46</f>
        <v/>
      </c>
    </row>
    <row r="47">
      <c r="A47" s="6" t="inlineStr">
        <is>
          <t>La Guajira</t>
        </is>
      </c>
      <c r="B47" s="6">
        <f>COUNTIF(Incidentes!$D$2:$D$35,A47)</f>
        <v/>
      </c>
      <c r="C47" s="6">
        <f>SUMIF(Incidentes!$D$2:$D$35,A47,Incidentes!$U$2:$U$35)</f>
        <v/>
      </c>
      <c r="D47" s="6">
        <f>SUMIF(Incidentes!$D$2:$D$35,A47,Incidentes!$V$2:$V$35)</f>
        <v/>
      </c>
      <c r="E47" s="6">
        <f>COUNTIFS(Incidentes!$D$2:$D$35,A47,Incidentes!$P$2:$P$35,"E")</f>
        <v/>
      </c>
      <c r="F47" s="13">
        <f>E47/B47</f>
        <v/>
      </c>
    </row>
    <row r="48">
      <c r="A48" s="6" t="inlineStr">
        <is>
          <t>Magdalena</t>
        </is>
      </c>
      <c r="B48" s="6">
        <f>COUNTIF(Incidentes!$D$2:$D$35,A48)</f>
        <v/>
      </c>
      <c r="C48" s="6">
        <f>SUMIF(Incidentes!$D$2:$D$35,A48,Incidentes!$U$2:$U$35)</f>
        <v/>
      </c>
      <c r="D48" s="6">
        <f>SUMIF(Incidentes!$D$2:$D$35,A48,Incidentes!$V$2:$V$35)</f>
        <v/>
      </c>
      <c r="E48" s="6">
        <f>COUNTIFS(Incidentes!$D$2:$D$35,A48,Incidentes!$P$2:$P$35,"E")</f>
        <v/>
      </c>
      <c r="F48" s="13">
        <f>E48/B48</f>
        <v/>
      </c>
    </row>
    <row r="49">
      <c r="A49" s="6" t="inlineStr">
        <is>
          <t>Nariño</t>
        </is>
      </c>
      <c r="B49" s="6">
        <f>COUNTIF(Incidentes!$D$2:$D$35,A49)</f>
        <v/>
      </c>
      <c r="C49" s="6">
        <f>SUMIF(Incidentes!$D$2:$D$35,A49,Incidentes!$U$2:$U$35)</f>
        <v/>
      </c>
      <c r="D49" s="6">
        <f>SUMIF(Incidentes!$D$2:$D$35,A49,Incidentes!$V$2:$V$35)</f>
        <v/>
      </c>
      <c r="E49" s="6">
        <f>COUNTIFS(Incidentes!$D$2:$D$35,A49,Incidentes!$P$2:$P$35,"E")</f>
        <v/>
      </c>
      <c r="F49" s="13">
        <f>E49/B49</f>
        <v/>
      </c>
    </row>
    <row r="50">
      <c r="A50" s="6" t="inlineStr">
        <is>
          <t>Norte de Santander</t>
        </is>
      </c>
      <c r="B50" s="6">
        <f>COUNTIF(Incidentes!$D$2:$D$35,A50)</f>
        <v/>
      </c>
      <c r="C50" s="6">
        <f>SUMIF(Incidentes!$D$2:$D$35,A50,Incidentes!$U$2:$U$35)</f>
        <v/>
      </c>
      <c r="D50" s="6">
        <f>SUMIF(Incidentes!$D$2:$D$35,A50,Incidentes!$V$2:$V$35)</f>
        <v/>
      </c>
      <c r="E50" s="6">
        <f>COUNTIFS(Incidentes!$D$2:$D$35,A50,Incidentes!$P$2:$P$35,"E")</f>
        <v/>
      </c>
      <c r="F50" s="13">
        <f>E50/B50</f>
        <v/>
      </c>
    </row>
    <row r="51">
      <c r="A51" s="6" t="inlineStr">
        <is>
          <t>Valle del Cauca</t>
        </is>
      </c>
      <c r="B51" s="6">
        <f>COUNTIF(Incidentes!$D$2:$D$35,A51)</f>
        <v/>
      </c>
      <c r="C51" s="6">
        <f>SUMIF(Incidentes!$D$2:$D$35,A51,Incidentes!$U$2:$U$35)</f>
        <v/>
      </c>
      <c r="D51" s="6">
        <f>SUMIF(Incidentes!$D$2:$D$35,A51,Incidentes!$V$2:$V$35)</f>
        <v/>
      </c>
      <c r="E51" s="6">
        <f>COUNTIFS(Incidentes!$D$2:$D$35,A51,Incidentes!$P$2:$P$35,"E")</f>
        <v/>
      </c>
      <c r="F51" s="13">
        <f>E51/B51</f>
        <v/>
      </c>
    </row>
    <row r="54">
      <c r="A54" s="5" t="inlineStr">
        <is>
          <t>Por mes</t>
        </is>
      </c>
      <c r="B54" s="5" t="inlineStr">
        <is>
          <t>Desde</t>
        </is>
      </c>
      <c r="C54" s="5" t="inlineStr">
        <is>
          <t>Hasta (excl.)</t>
        </is>
      </c>
      <c r="D54" s="5" t="inlineStr">
        <is>
          <t>Incidentes</t>
        </is>
      </c>
      <c r="E54" s="5" t="inlineStr">
        <is>
          <t>Fallecidos</t>
        </is>
      </c>
      <c r="F54" s="5" t="inlineStr">
        <is>
          <t>Heridos</t>
        </is>
      </c>
    </row>
    <row r="55">
      <c r="A55" s="6" t="inlineStr">
        <is>
          <t>agosto (desde el 7)</t>
        </is>
      </c>
      <c r="B55" s="7" t="n">
        <v>46241</v>
      </c>
      <c r="C55" s="7" t="n">
        <v>46266</v>
      </c>
      <c r="D55" s="6">
        <f>COUNTIFS(Incidentes!$B$2:$B$35,"&gt;="&amp;B55,Incidentes!$B$2:$B$35,"&lt;"&amp;C55)</f>
        <v/>
      </c>
      <c r="E55" s="6">
        <f>SUMIFS(Incidentes!$U$2:$U$35,Incidentes!$B$2:$B$35,"&gt;="&amp;B55,Incidentes!$B$2:$B$35,"&lt;"&amp;C55)</f>
        <v/>
      </c>
      <c r="F55" s="6">
        <f>SUMIFS(Incidentes!$V$2:$V$35,Incidentes!$B$2:$B$35,"&gt;="&amp;B55,Incidentes!$B$2:$B$35,"&lt;"&amp;C55)</f>
        <v/>
      </c>
    </row>
    <row r="56">
      <c r="A56" s="6" t="inlineStr">
        <is>
          <t>septiembre</t>
        </is>
      </c>
      <c r="B56" s="7" t="n">
        <v>46266</v>
      </c>
      <c r="C56" s="7" t="n">
        <v>46296</v>
      </c>
      <c r="D56" s="6">
        <f>COUNTIFS(Incidentes!$B$2:$B$35,"&gt;="&amp;B56,Incidentes!$B$2:$B$35,"&lt;"&amp;C56)</f>
        <v/>
      </c>
      <c r="E56" s="6">
        <f>SUMIFS(Incidentes!$U$2:$U$35,Incidentes!$B$2:$B$35,"&gt;="&amp;B56,Incidentes!$B$2:$B$35,"&lt;"&amp;C56)</f>
        <v/>
      </c>
      <c r="F56" s="6">
        <f>SUMIFS(Incidentes!$V$2:$V$35,Incidentes!$B$2:$B$35,"&gt;="&amp;B56,Incidentes!$B$2:$B$35,"&lt;"&amp;C56)</f>
        <v/>
      </c>
    </row>
    <row r="57">
      <c r="A57" s="6" t="inlineStr">
        <is>
          <t>octubre</t>
        </is>
      </c>
      <c r="B57" s="7" t="n">
        <v>46296</v>
      </c>
      <c r="C57" s="7" t="n">
        <v>46327</v>
      </c>
      <c r="D57" s="6">
        <f>COUNTIFS(Incidentes!$B$2:$B$35,"&gt;="&amp;B57,Incidentes!$B$2:$B$35,"&lt;"&amp;C57)</f>
        <v/>
      </c>
      <c r="E57" s="6">
        <f>SUMIFS(Incidentes!$U$2:$U$35,Incidentes!$B$2:$B$35,"&gt;="&amp;B57,Incidentes!$B$2:$B$35,"&lt;"&amp;C57)</f>
        <v/>
      </c>
      <c r="F57" s="6">
        <f>SUMIFS(Incidentes!$V$2:$V$35,Incidentes!$B$2:$B$35,"&gt;="&amp;B57,Incidentes!$B$2:$B$35,"&lt;"&amp;C57)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  <col width="28" customWidth="1" min="3" max="3"/>
  </cols>
  <sheetData>
    <row r="1">
      <c r="A1" s="5" t="inlineStr">
        <is>
          <t>Id</t>
        </is>
      </c>
      <c r="B1" s="5" t="inlineStr">
        <is>
          <t>URL</t>
        </is>
      </c>
      <c r="C1" s="5" t="inlineStr">
        <is>
          <t>Dominio</t>
        </is>
      </c>
    </row>
    <row r="2">
      <c r="A2" s="6" t="inlineStr">
        <is>
          <t>CO-2026-001</t>
        </is>
      </c>
      <c r="B2" s="10" t="inlineStr">
        <is>
          <t>https://www.bluradio.com/nacion/atacan-con-explosivos-la-alcaldia-de-teruel-huila-hay-un-herido-so35</t>
        </is>
      </c>
      <c r="C2" s="6" t="inlineStr">
        <is>
          <t>bluradio.com</t>
        </is>
      </c>
    </row>
    <row r="3">
      <c r="A3" s="6" t="inlineStr">
        <is>
          <t>CO-2026-002</t>
        </is>
      </c>
      <c r="B3" s="10" t="inlineStr">
        <is>
          <t>https://www.aljazeera.com/news/2026/8/8/car-bomb-attack-rattles-colombia-after-inauguration-of-hardline-president</t>
        </is>
      </c>
      <c r="C3" s="6" t="inlineStr">
        <is>
          <t>aljazeera.com</t>
        </is>
      </c>
    </row>
    <row r="4">
      <c r="A4" s="6" t="inlineStr">
        <is>
          <t>CO-2026-002</t>
        </is>
      </c>
      <c r="B4" s="10" t="inlineStr">
        <is>
          <t>https://www.teleamazonas.com/actualidad/noticias/internacional/cronologia-violencia-colombia-atentados-seguridad-129149/</t>
        </is>
      </c>
      <c r="C4" s="6" t="inlineStr">
        <is>
          <t>teleamazonas.com</t>
        </is>
      </c>
    </row>
    <row r="5">
      <c r="A5" s="6" t="inlineStr">
        <is>
          <t>CO-2026-003</t>
        </is>
      </c>
      <c r="B5" s="10" t="inlineStr">
        <is>
          <t>https://www.latribuna.hn/2026/08/08/policia-muere-en-ataque-con-explosivos-lanzados-desde-drones-en-colombia/</t>
        </is>
      </c>
      <c r="C5" s="6" t="inlineStr">
        <is>
          <t>latribuna.hn</t>
        </is>
      </c>
    </row>
    <row r="6">
      <c r="A6" s="6" t="inlineStr">
        <is>
          <t>CO-2026-003</t>
        </is>
      </c>
      <c r="B6" s="10" t="inlineStr">
        <is>
          <t>https://www.minuto30.com/?p=1715502</t>
        </is>
      </c>
      <c r="C6" s="6" t="inlineStr">
        <is>
          <t>minuto30.com</t>
        </is>
      </c>
    </row>
    <row r="7">
      <c r="A7" s="6" t="inlineStr">
        <is>
          <t>CO-2026-003</t>
        </is>
      </c>
      <c r="B7" s="10" t="inlineStr">
        <is>
          <t>https://www.teleamazonas.com/actualidad/noticias/internacional/cronologia-violencia-colombia-atentados-seguridad-129149/</t>
        </is>
      </c>
      <c r="C7" s="6" t="inlineStr">
        <is>
          <t>teleamazonas.com</t>
        </is>
      </c>
    </row>
    <row r="8">
      <c r="A8" s="6" t="inlineStr">
        <is>
          <t>CO-2026-004</t>
        </is>
      </c>
      <c r="B8" s="10" t="inlineStr">
        <is>
          <t>https://www.infobae.com/america/agencias/2026/08/16/al-menos-un-militar-muerto-y-otros-cinco-heridos-en-un-ataque-del-eln-en-el-noreste-de-colombia/</t>
        </is>
      </c>
      <c r="C8" s="6" t="inlineStr">
        <is>
          <t>infobae.com</t>
        </is>
      </c>
    </row>
    <row r="9">
      <c r="A9" s="6" t="inlineStr">
        <is>
          <t>CO-2026-004</t>
        </is>
      </c>
      <c r="B9" s="10" t="inlineStr">
        <is>
          <t>https://www.teleamazonas.com/actualidad/noticias/internacional/10-hechos-violentos-colombia-atentados-espriella-129149/</t>
        </is>
      </c>
      <c r="C9" s="6" t="inlineStr">
        <is>
          <t>teleamazonas.com</t>
        </is>
      </c>
    </row>
    <row r="10">
      <c r="A10" s="6" t="inlineStr">
        <is>
          <t>CO-2026-005</t>
        </is>
      </c>
      <c r="B10" s="10" t="inlineStr">
        <is>
          <t>https://www.noticiasrcn.com/colombia/lanzan-granadas-contra-batallon-en-pelaya-cesar-1054870</t>
        </is>
      </c>
      <c r="C10" s="6" t="inlineStr">
        <is>
          <t>noticiasrcn.com</t>
        </is>
      </c>
    </row>
    <row r="11">
      <c r="A11" s="6" t="inlineStr">
        <is>
          <t>CO-2026-005</t>
        </is>
      </c>
      <c r="B11" s="10" t="inlineStr">
        <is>
          <t>https://lapatilla.com/2026/08/27/al-menos-dos-soldados-fueron-heridos-por-ataque-con-explosivos-en-el-norte-de-colombia/</t>
        </is>
      </c>
      <c r="C11" s="6" t="inlineStr">
        <is>
          <t>lapatilla.com</t>
        </is>
      </c>
    </row>
    <row r="12">
      <c r="A12" s="6" t="inlineStr">
        <is>
          <t>CO-2026-005</t>
        </is>
      </c>
      <c r="B12" s="10" t="inlineStr">
        <is>
          <t>https://www.teleamazonas.com/actualidad/noticias/internacional/cronologia-violencia-colombia-atentados-seguridad-129149/</t>
        </is>
      </c>
      <c r="C12" s="6" t="inlineStr">
        <is>
          <t>teleamazonas.com</t>
        </is>
      </c>
    </row>
    <row r="13">
      <c r="A13" s="6" t="inlineStr">
        <is>
          <t>CO-2026-006</t>
        </is>
      </c>
      <c r="B13" s="10" t="inlineStr">
        <is>
          <t>https://www.noticiasrcn.com/colombia/ataque-con-drones-contra-estacion-en-pailitas-dejo-tres-policias-heridos-se-le-atribuye-al-eln-1055649</t>
        </is>
      </c>
      <c r="C13" s="6" t="inlineStr">
        <is>
          <t>noticiasrcn.com</t>
        </is>
      </c>
    </row>
    <row r="14">
      <c r="A14" s="6" t="inlineStr">
        <is>
          <t>CO-2026-006</t>
        </is>
      </c>
      <c r="B14" s="10" t="inlineStr">
        <is>
          <t>https://www.eluniversal.com.co/sucesos/2026/08/30/video-atacan-con-drones-estacion-de-policia-en-pailitas-cesar-3-uniformados-heridos/</t>
        </is>
      </c>
      <c r="C14" s="6" t="inlineStr">
        <is>
          <t>eluniversal.com.co</t>
        </is>
      </c>
    </row>
    <row r="15">
      <c r="A15" s="6" t="inlineStr">
        <is>
          <t>CO-2026-007</t>
        </is>
      </c>
      <c r="B15" s="10" t="inlineStr">
        <is>
          <t>https://www.infobae.com/colombia/2026/09/02/atentados-con-explosivos-en-colombia-llegan-a-204-en-2026-tras-carro-bomba-en-los-patios/</t>
        </is>
      </c>
      <c r="C15" s="6" t="inlineStr">
        <is>
          <t>infobae.com</t>
        </is>
      </c>
    </row>
    <row r="16">
      <c r="A16" s="6" t="inlineStr">
        <is>
          <t>CO-2026-007</t>
        </is>
      </c>
      <c r="B16" s="10" t="inlineStr">
        <is>
          <t>https://www.emol.com/noticias/Internacional/2026/09/01/1210192/colombia-atentado-auto-bomba.html</t>
        </is>
      </c>
      <c r="C16" s="6" t="inlineStr">
        <is>
          <t>emol.com</t>
        </is>
      </c>
    </row>
    <row r="17">
      <c r="A17" s="6" t="inlineStr">
        <is>
          <t>CO-2026-007</t>
        </is>
      </c>
      <c r="B17" s="10" t="inlineStr">
        <is>
          <t>https://www.teleamazonas.com/actualidad/noticias/internacional/cronologia-violencia-colombia-atentados-seguridad-129149/</t>
        </is>
      </c>
      <c r="C17" s="6" t="inlineStr">
        <is>
          <t>teleamazonas.com</t>
        </is>
      </c>
    </row>
    <row r="18">
      <c r="A18" s="6" t="inlineStr">
        <is>
          <t>CO-2026-008</t>
        </is>
      </c>
      <c r="B18" s="10" t="inlineStr">
        <is>
          <t>https://www.vanguardia.com/colombia/2026/09/02/nuevo-ataque-con-drones-golpeo-estacion-de-policia-en-el-burro-cesar/</t>
        </is>
      </c>
      <c r="C18" s="6" t="inlineStr">
        <is>
          <t>vanguardia.com</t>
        </is>
      </c>
    </row>
    <row r="19">
      <c r="A19" s="6" t="inlineStr">
        <is>
          <t>CO-2026-009</t>
        </is>
      </c>
      <c r="B19" s="10" t="inlineStr">
        <is>
          <t>https://www.eluniversal.com.co/colombia/2026/09/05/eln-ataco-base-militar-en-ocana-con-drones-cargados-de-explosivos/</t>
        </is>
      </c>
      <c r="C19" s="6" t="inlineStr">
        <is>
          <t>eluniversal.com.co</t>
        </is>
      </c>
    </row>
    <row r="20">
      <c r="A20" s="6" t="inlineStr">
        <is>
          <t>CO-2026-009</t>
        </is>
      </c>
      <c r="B20" s="10" t="inlineStr">
        <is>
          <t>https://www.minuto30.com/amp/muere-jhon-carlos-soldado-ataque-ocana/1718094/</t>
        </is>
      </c>
      <c r="C20" s="6" t="inlineStr">
        <is>
          <t>minuto30.com</t>
        </is>
      </c>
    </row>
    <row r="21">
      <c r="A21" s="6" t="inlineStr">
        <is>
          <t>CO-2026-009</t>
        </is>
      </c>
      <c r="B21" s="10" t="inlineStr">
        <is>
          <t>https://www.noticiasrcn.com/colombia/ataque-con-drones-del-eln-en-ocana-deja-dos-militares-muertos-y-cinco-heridos-1057923</t>
        </is>
      </c>
      <c r="C21" s="6" t="inlineStr">
        <is>
          <t>noticiasrcn.com</t>
        </is>
      </c>
    </row>
    <row r="22">
      <c r="A22" s="6" t="inlineStr">
        <is>
          <t>CO-2026-010</t>
        </is>
      </c>
      <c r="B22" s="10" t="inlineStr">
        <is>
          <t>https://es.euronews.com/2026/09/23/un-ataque-con-explosivos-descarrila-un-tren-de-cerrejon-en-el-norte-de-colombia</t>
        </is>
      </c>
      <c r="C22" s="6" t="inlineStr">
        <is>
          <t>es.euronews.com</t>
        </is>
      </c>
    </row>
    <row r="23">
      <c r="A23" s="6" t="inlineStr">
        <is>
          <t>CO-2026-010</t>
        </is>
      </c>
      <c r="B23" s="10" t="inlineStr">
        <is>
          <t>https://www.teleamazonas.com/actualidad/noticias/internacional/atentado-explosivos-tren-cerrejon-militarizacion-santa-marta-128719/</t>
        </is>
      </c>
      <c r="C23" s="6" t="inlineStr">
        <is>
          <t>teleamazonas.com</t>
        </is>
      </c>
    </row>
    <row r="24">
      <c r="A24" s="6" t="inlineStr">
        <is>
          <t>CO-2026-011</t>
        </is>
      </c>
      <c r="B24" s="10" t="inlineStr">
        <is>
          <t>https://cambiocolombia.com/pais/articulo/2026/9/paro-armado-santa-marta-primeras-horas-ataques-vehiculos-quemados-respuesta-autoridades</t>
        </is>
      </c>
      <c r="C24" s="6" t="inlineStr">
        <is>
          <t>cambiocolombia.com</t>
        </is>
      </c>
    </row>
    <row r="25">
      <c r="A25" s="6" t="inlineStr">
        <is>
          <t>CO-2026-011</t>
        </is>
      </c>
      <c r="B25" s="10" t="inlineStr">
        <is>
          <t>https://cambiocolombia.com/pais/articulo/2026/9/hay-paro-armado-en-santa-marta-las-autoridades-lo-niegan-pero-se-reportan-situaciones-de-orden-publico/</t>
        </is>
      </c>
      <c r="C25" s="6" t="inlineStr">
        <is>
          <t>cambiocolombia.com</t>
        </is>
      </c>
    </row>
    <row r="26">
      <c r="A26" s="6" t="inlineStr">
        <is>
          <t>CO-2026-011</t>
        </is>
      </c>
      <c r="B26" s="10" t="inlineStr">
        <is>
          <t>https://www.teleamazonas.com/actualidad/noticias/internacional/cronologia-violencia-colombia-atentados-seguridad-129149/</t>
        </is>
      </c>
      <c r="C26" s="6" t="inlineStr">
        <is>
          <t>teleamazonas.com</t>
        </is>
      </c>
    </row>
    <row r="27">
      <c r="A27" s="6" t="inlineStr">
        <is>
          <t>CO-2026-012</t>
        </is>
      </c>
      <c r="B27" s="10" t="inlineStr">
        <is>
          <t>https://minuto60.com/judicial/estacion-policia-fue-atacada-drones-explosivos-cesar/16594</t>
        </is>
      </c>
      <c r="C27" s="6" t="inlineStr">
        <is>
          <t>minuto60.com</t>
        </is>
      </c>
    </row>
    <row r="28">
      <c r="A28" s="6" t="inlineStr">
        <is>
          <t>CO-2026-012</t>
        </is>
      </c>
      <c r="B28" s="10" t="inlineStr">
        <is>
          <t>https://www.teleamazonas.com/actualidad/noticias/internacional/cronologia-violencia-colombia-atentados-seguridad-129149/</t>
        </is>
      </c>
      <c r="C28" s="6" t="inlineStr">
        <is>
          <t>teleamazonas.com</t>
        </is>
      </c>
    </row>
    <row r="29">
      <c r="A29" s="6" t="inlineStr">
        <is>
          <t>CO-2026-013</t>
        </is>
      </c>
      <c r="B29" s="10" t="inlineStr">
        <is>
          <t>https://www.vanguardia.com/colombia/2026/10/02/tres-dias-de-ataques-con-drones-en-choco-esto-se-sabe-de-la-ofensiva-contra-la-fuerza-publica/</t>
        </is>
      </c>
      <c r="C29" s="6" t="inlineStr">
        <is>
          <t>vanguardia.com</t>
        </is>
      </c>
    </row>
    <row r="30">
      <c r="A30" s="6" t="inlineStr">
        <is>
          <t>CO-2026-013</t>
        </is>
      </c>
      <c r="B30" s="10" t="inlineStr">
        <is>
          <t>https://www.asuntoslegales.com.co/actualidad/gobernadora-del-choco-alerta-por-11-ataques-con-drones-en-los-ultimos-tres-dias-4494689</t>
        </is>
      </c>
      <c r="C30" s="6" t="inlineStr">
        <is>
          <t>asuntoslegales.com.co</t>
        </is>
      </c>
    </row>
    <row r="31">
      <c r="A31" s="6" t="inlineStr">
        <is>
          <t>CO-2026-014</t>
        </is>
      </c>
      <c r="B31" s="10" t="inlineStr">
        <is>
          <t>https://www.vanguardia.com/colombia/2026/10/02/tres-dias-de-ataques-con-drones-en-choco-esto-se-sabe-de-la-ofensiva-contra-la-fuerza-publica/</t>
        </is>
      </c>
      <c r="C31" s="6" t="inlineStr">
        <is>
          <t>vanguardia.com</t>
        </is>
      </c>
    </row>
    <row r="32">
      <c r="A32" s="6" t="inlineStr">
        <is>
          <t>CO-2026-014</t>
        </is>
      </c>
      <c r="B32" s="10" t="inlineStr">
        <is>
          <t>https://www.semana.com/nacion/articulo/gobernadora-del-choco-alerta-por-ola-de-ataques-con-drones-11-en-tres-dias/202631/</t>
        </is>
      </c>
      <c r="C32" s="6" t="inlineStr">
        <is>
          <t>semana.com</t>
        </is>
      </c>
    </row>
    <row r="33">
      <c r="A33" s="6" t="inlineStr">
        <is>
          <t>CO-2026-015</t>
        </is>
      </c>
      <c r="B33" s="10" t="inlineStr">
        <is>
          <t>https://www.vanguardia.com/colombia/2026/10/01/atencion-atacan-con-drones-y-explosivos-estacion-de-policia-de-santa-rita-de-iro-choco/</t>
        </is>
      </c>
      <c r="C33" s="6" t="inlineStr">
        <is>
          <t>vanguardia.com</t>
        </is>
      </c>
    </row>
    <row r="34">
      <c r="A34" s="6" t="inlineStr">
        <is>
          <t>CO-2026-015</t>
        </is>
      </c>
      <c r="B34" s="10" t="inlineStr">
        <is>
          <t>https://www.vanguardia.com/colombia/2026/10/02/tres-dias-de-ataques-con-drones-en-choco-esto-se-sabe-de-la-ofensiva-contra-la-fuerza-publica/</t>
        </is>
      </c>
      <c r="C34" s="6" t="inlineStr">
        <is>
          <t>vanguardia.com</t>
        </is>
      </c>
    </row>
    <row r="35">
      <c r="A35" s="6" t="inlineStr">
        <is>
          <t>CO-2026-016</t>
        </is>
      </c>
      <c r="B35" s="10" t="inlineStr">
        <is>
          <t>https://www.vanguardia.com/colombia/2026/10/03/asi-fue-el-ataque-con-drones-que-dejo-un-soldado-muerto-y-otro-herido-en-huila/</t>
        </is>
      </c>
      <c r="C35" s="6" t="inlineStr">
        <is>
          <t>vanguardia.com</t>
        </is>
      </c>
    </row>
    <row r="36">
      <c r="A36" s="6" t="inlineStr">
        <is>
          <t>CO-2026-016</t>
        </is>
      </c>
      <c r="B36" s="10" t="inlineStr">
        <is>
          <t>https://cambiocolombia.com/conflicto-armado-en-colombia/articulo/2026/10/disidencias-de-mordisco-atacan-con-drones-a-militares-en-zona-rural-de-neiva-un-soldado-muerto-y-otro-herido</t>
        </is>
      </c>
      <c r="C36" s="6" t="inlineStr">
        <is>
          <t>cambiocolombia.com</t>
        </is>
      </c>
    </row>
    <row r="37">
      <c r="A37" s="6" t="inlineStr">
        <is>
          <t>CO-2026-017</t>
        </is>
      </c>
      <c r="B37" s="10" t="inlineStr">
        <is>
          <t>https://www.vanguardia.com/colombia/2026/10/05/nueva-noche-de-tension-en-aguachica-tras-ataque-con-explosivos-a-estacion-de-policia/</t>
        </is>
      </c>
      <c r="C37" s="6" t="inlineStr">
        <is>
          <t>vanguardia.com</t>
        </is>
      </c>
    </row>
    <row r="38">
      <c r="A38" s="6" t="inlineStr">
        <is>
          <t>CO-2026-017</t>
        </is>
      </c>
      <c r="B38" s="10" t="inlineStr">
        <is>
          <t>https://www.elpais.com.co/judicial/asointermedias-rechaza-nuevo-ataque-con-drones-contra-la-estacion-de-policia-de-aguachica-cesar-0506.html</t>
        </is>
      </c>
      <c r="C38" s="6" t="inlineStr">
        <is>
          <t>elpais.com.co</t>
        </is>
      </c>
    </row>
    <row r="39">
      <c r="A39" s="6" t="inlineStr">
        <is>
          <t>CO-2026-018</t>
        </is>
      </c>
      <c r="B39" s="10" t="inlineStr">
        <is>
          <t>https://www.publimetro.co/noticias/2026/10/07/terror-en-popayan-atentado-con-explosivos-deja-al-menos-a-dos-policias-gravemente-heridos/</t>
        </is>
      </c>
      <c r="C39" s="6" t="inlineStr">
        <is>
          <t>publimetro.co</t>
        </is>
      </c>
    </row>
    <row r="40">
      <c r="A40" s="6" t="inlineStr">
        <is>
          <t>CO-2026-019</t>
        </is>
      </c>
      <c r="B40" s="10" t="inlineStr">
        <is>
          <t>https://www.semana.com/nacion/cali/articulo/video-muestra-el-momento-en-el-que-disidentes-atacan-a-disparos-a-policias-en-valle-del-cauca-un-uniformado-fue-asesinado/202640/</t>
        </is>
      </c>
      <c r="C40" s="6" t="inlineStr">
        <is>
          <t>semana.com</t>
        </is>
      </c>
    </row>
    <row r="41">
      <c r="A41" s="6" t="inlineStr">
        <is>
          <t>CO-2026-020</t>
        </is>
      </c>
      <c r="B41" s="10" t="inlineStr">
        <is>
          <t>https://90minutos.co/judicial/reportan-ataque-drones-zona-rural-jamundi-valle-cauca-13-10-2026/</t>
        </is>
      </c>
      <c r="C41" s="6" t="inlineStr">
        <is>
          <t>90minutos.co</t>
        </is>
      </c>
    </row>
    <row r="42">
      <c r="A42" s="6" t="inlineStr">
        <is>
          <t>CO-2026-021</t>
        </is>
      </c>
      <c r="B42" s="10" t="inlineStr">
        <is>
          <t>https://www.infobae.com/colombia/2026/10/15/ataque-con-drones-atribuido-al-eln-en-san-jose-del-palmar-choco-dejo-un-saldo-de-nueve-militares-heridos/</t>
        </is>
      </c>
      <c r="C42" s="6" t="inlineStr">
        <is>
          <t>infobae.com</t>
        </is>
      </c>
    </row>
    <row r="43">
      <c r="A43" s="6" t="inlineStr">
        <is>
          <t>CO-2026-021</t>
        </is>
      </c>
      <c r="B43" s="10" t="inlineStr">
        <is>
          <t>https://www.noticiasrcn.com/colombia/nueve-soldados-resultaron-heridos-por-ataque-con-drones-en-san-jose-del-palmar-choco-1071590</t>
        </is>
      </c>
      <c r="C43" s="6" t="inlineStr">
        <is>
          <t>noticiasrcn.com</t>
        </is>
      </c>
    </row>
    <row r="44">
      <c r="A44" s="6" t="inlineStr">
        <is>
          <t>CO-2026-021</t>
        </is>
      </c>
      <c r="B44" s="10" t="inlineStr">
        <is>
          <t>https://www.defensoria.gov.co/web/guest/w/llamamos-a-proteger-a-la-poblacion-civil-tras-ataque-con-drones-que-dejo-nueve-militares-heridos-en-san-jose-del-palmar-choco</t>
        </is>
      </c>
      <c r="C44" s="6" t="inlineStr">
        <is>
          <t>defensoria.gov.co</t>
        </is>
      </c>
    </row>
    <row r="45">
      <c r="A45" s="6" t="inlineStr">
        <is>
          <t>CO-2026-022</t>
        </is>
      </c>
      <c r="B45" s="10" t="inlineStr">
        <is>
          <t>https://www.infobae.com/colombia/2026/10/16/alejandro-eder-entrego-nuevos-detalles-del-atentado-que-dejo-cinco-policias-heridos-en-el-oriente-de-cali-capturado-tendria-nexos-con-las-disidencias-de-las-farc/</t>
        </is>
      </c>
      <c r="C45" s="6" t="inlineStr">
        <is>
          <t>infobae.com</t>
        </is>
      </c>
    </row>
    <row r="46">
      <c r="A46" s="6" t="inlineStr">
        <is>
          <t>CO-2026-022</t>
        </is>
      </c>
      <c r="B46" s="10" t="inlineStr">
        <is>
          <t>https://www.qhubocali.com/judiciales/explosion-sacudio-a-cali-cuatro-policias-y-una-civil-resultaron-heridos/</t>
        </is>
      </c>
      <c r="C46" s="6" t="inlineStr">
        <is>
          <t>qhubocali.com</t>
        </is>
      </c>
    </row>
    <row r="47">
      <c r="A47" s="6" t="inlineStr">
        <is>
          <t>CO-2026-023</t>
        </is>
      </c>
      <c r="B47" s="10" t="inlineStr">
        <is>
          <t>https://www.eluniversal.com.co/sucesos/2026/10/15/video-violento-ataque-con-drones-a-estacion-de-policia-en-palermo-huila/</t>
        </is>
      </c>
      <c r="C47" s="6" t="inlineStr">
        <is>
          <t>eluniversal.com.co</t>
        </is>
      </c>
    </row>
    <row r="48">
      <c r="A48" s="6" t="inlineStr">
        <is>
          <t>CO-2026-023</t>
        </is>
      </c>
      <c r="B48" s="10" t="inlineStr">
        <is>
          <t>https://www.bluradio.com/nacion/ataque-con-explosivos-lanzados-desde-drones-deja-dos-policias-heridos-en-palermo-huila-pr30</t>
        </is>
      </c>
      <c r="C48" s="6" t="inlineStr">
        <is>
          <t>bluradio.com</t>
        </is>
      </c>
    </row>
    <row r="49">
      <c r="A49" s="6" t="inlineStr">
        <is>
          <t>CO-2026-023</t>
        </is>
      </c>
      <c r="B49" s="10" t="inlineStr">
        <is>
          <t>https://www.defensoria.gov.co/web/guest/w/comunidades-del-occidente-del-departamento-del-huila-estan-en-riesgo-tras-reciente-escalada-de-violencia</t>
        </is>
      </c>
      <c r="C49" s="6" t="inlineStr">
        <is>
          <t>defensoria.gov.co</t>
        </is>
      </c>
    </row>
    <row r="50">
      <c r="A50" s="6" t="inlineStr">
        <is>
          <t>CO-2026-024</t>
        </is>
      </c>
      <c r="B50" s="10" t="inlineStr">
        <is>
          <t>https://www.vanguardia.com/colombia/2026/10/16/ataque-con-drones-en-teruel-huila-dejo-un-policia-herido-y-afecto-instalaciones-oficiales/</t>
        </is>
      </c>
      <c r="C50" s="6" t="inlineStr">
        <is>
          <t>vanguardia.com</t>
        </is>
      </c>
    </row>
    <row r="51">
      <c r="A51" s="6" t="inlineStr">
        <is>
          <t>CO-2026-024</t>
        </is>
      </c>
      <c r="B51" s="10" t="inlineStr">
        <is>
          <t>https://www.lafm.com.co/orden-publico/ataque-drones-teruel-huila-414206</t>
        </is>
      </c>
      <c r="C51" s="6" t="inlineStr">
        <is>
          <t>lafm.com.co</t>
        </is>
      </c>
    </row>
    <row r="52">
      <c r="A52" s="6" t="inlineStr">
        <is>
          <t>CO-2026-025</t>
        </is>
      </c>
      <c r="B52" s="10" t="inlineStr">
        <is>
          <t>https://www.infobae.com/colombia/2026/10/17/ataque-con-explosivos-dejo-tres-uniformados-lesionados-en-cali/</t>
        </is>
      </c>
      <c r="C52" s="6" t="inlineStr">
        <is>
          <t>infobae.com</t>
        </is>
      </c>
    </row>
    <row r="53">
      <c r="A53" s="6" t="inlineStr">
        <is>
          <t>CO-2026-025</t>
        </is>
      </c>
      <c r="B53" s="10" t="inlineStr">
        <is>
          <t>https://www.elheraldo.co/colombia/2026/10/17/detonacion-de-artefactos-explosivos-en-zona-rural-de-cali-deja-tres-policias-heridos/</t>
        </is>
      </c>
      <c r="C53" s="6" t="inlineStr">
        <is>
          <t>elheraldo.co</t>
        </is>
      </c>
    </row>
    <row r="54">
      <c r="A54" s="6" t="inlineStr">
        <is>
          <t>CO-2026-025</t>
        </is>
      </c>
      <c r="B54" s="10" t="inlineStr">
        <is>
          <t>https://www.eluniversal.com.co/colombia/2026/10/17/explosivos-contra-la-policia-en-cali-cuatro-uniformados-heridos/</t>
        </is>
      </c>
      <c r="C54" s="6" t="inlineStr">
        <is>
          <t>eluniversal.com.co</t>
        </is>
      </c>
    </row>
    <row r="55">
      <c r="A55" s="6" t="inlineStr">
        <is>
          <t>CO-2026-026</t>
        </is>
      </c>
      <c r="B55" s="10" t="inlineStr">
        <is>
          <t>https://www.elheraldo.co/colombia/2026/10/21/ataque-con-drones-contra-estacion-de-policia-en-pelaya-cesar-deja-seis-uniformados-heridos/</t>
        </is>
      </c>
      <c r="C55" s="6" t="inlineStr">
        <is>
          <t>elheraldo.co</t>
        </is>
      </c>
    </row>
    <row r="56">
      <c r="A56" s="6" t="inlineStr">
        <is>
          <t>CO-2026-026</t>
        </is>
      </c>
      <c r="B56" s="10" t="inlineStr">
        <is>
          <t>https://www.infobae.com/colombia/2026/10/21/nuevo-ataque-con-drones-contra-una-estacion-de-policia-en-colombia-dejo-seis-uniformados-heridos-autoridades-ofrecieron-millonaria-recompensa/</t>
        </is>
      </c>
      <c r="C56" s="6" t="inlineStr">
        <is>
          <t>infobae.com</t>
        </is>
      </c>
    </row>
    <row r="57">
      <c r="A57" s="6" t="inlineStr">
        <is>
          <t>CO-2026-027</t>
        </is>
      </c>
      <c r="B57" s="10" t="inlineStr">
        <is>
          <t>https://www.semana.com/nacion/articulo/familia-por-poco-muere-tras-ataque-con-explosivos-del-eln-en-arauca-ejercito-denuncio-a-la-guerrilla-ante-organismos-internacionales/202617/</t>
        </is>
      </c>
      <c r="C57" s="6" t="inlineStr">
        <is>
          <t>semana.com</t>
        </is>
      </c>
    </row>
    <row r="58">
      <c r="A58" s="6" t="inlineStr">
        <is>
          <t>CO-2026-028</t>
        </is>
      </c>
      <c r="B58" s="10" t="inlineStr">
        <is>
          <t>https://www.infobae.com/colombia/2026/10/04/atacan-con-explosivos-y-rafagas-de-fusil-una-estacion-de-policia-en-narino-esto-se-sabe/</t>
        </is>
      </c>
      <c r="C58" s="6" t="inlineStr">
        <is>
          <t>infobae.com</t>
        </is>
      </c>
    </row>
    <row r="59">
      <c r="A59" s="6" t="inlineStr">
        <is>
          <t>CO-2026-028</t>
        </is>
      </c>
      <c r="B59" s="10" t="inlineStr">
        <is>
          <t>https://citytv.eltiempo.com/noticias/nacional/ataque-con-drones-y-fusiles-en-narino-obligo-evacuar-decenas-de-familias_95932</t>
        </is>
      </c>
      <c r="C59" s="6" t="inlineStr">
        <is>
          <t>citytv.eltiempo.com</t>
        </is>
      </c>
    </row>
    <row r="60">
      <c r="A60" s="6" t="inlineStr">
        <is>
          <t>CO-2026-028</t>
        </is>
      </c>
      <c r="B60" s="10" t="inlineStr">
        <is>
          <t>https://www.lafm.com.co/orden-publico/colombia-narino-el-penol-hostigamiento-armado-drones-explosivos-412937</t>
        </is>
      </c>
      <c r="C60" s="6" t="inlineStr">
        <is>
          <t>lafm.com.co</t>
        </is>
      </c>
    </row>
    <row r="61">
      <c r="A61" s="6" t="inlineStr">
        <is>
          <t>CO-2026-029</t>
        </is>
      </c>
      <c r="B61" s="10" t="inlineStr">
        <is>
          <t>https://www.semana.com/nacion/articulo/soldado-resulto-herido-en-un-ataque-con-explosivos-atribuido-preliminarmente-al-eln-en-arauca/202645/</t>
        </is>
      </c>
      <c r="C61" s="6" t="inlineStr">
        <is>
          <t>semana.com</t>
        </is>
      </c>
    </row>
    <row r="62">
      <c r="A62" s="6" t="inlineStr">
        <is>
          <t>CO-2026-029</t>
        </is>
      </c>
      <c r="B62" s="10" t="inlineStr">
        <is>
          <t>https://www.eluniversal.com.co/sucesos/2026/10/21/no-resistio-murio-daniel-felipe-pinzon-el-soldado-herido-en-ataque-con-explosivos/</t>
        </is>
      </c>
      <c r="C62" s="6" t="inlineStr">
        <is>
          <t>eluniversal.com.co</t>
        </is>
      </c>
    </row>
    <row r="63">
      <c r="A63" s="6" t="inlineStr">
        <is>
          <t>CO-2026-029</t>
        </is>
      </c>
      <c r="B63" s="10" t="inlineStr">
        <is>
          <t>https://www.elheraldo.co/colombia/2026/10/18/un-soldado-resulto-herido-en-ataque-del-eln-con-explosivos-en-arauca/</t>
        </is>
      </c>
      <c r="C63" s="6" t="inlineStr">
        <is>
          <t>elheraldo.co</t>
        </is>
      </c>
    </row>
    <row r="64">
      <c r="A64" s="6" t="inlineStr">
        <is>
          <t>CO-2026-030</t>
        </is>
      </c>
      <c r="B64" s="10" t="inlineStr">
        <is>
          <t>https://www.defensoria.gov.co/-/enfrentamientos-armados-en-la-subregion-del-san-juan-en-el-departamento-de-choco-generan-desplazamiento-y-confinamiento</t>
        </is>
      </c>
      <c r="C64" s="6" t="inlineStr">
        <is>
          <t>defensoria.gov.co</t>
        </is>
      </c>
    </row>
    <row r="65">
      <c r="A65" s="6" t="inlineStr">
        <is>
          <t>CO-2026-031</t>
        </is>
      </c>
      <c r="B65" s="10" t="inlineStr">
        <is>
          <t>https://www.diariodelsur.com.co/noticias/ataque-con-explosivos-en-dagua-deja-cuatro-civiles-heridos</t>
        </is>
      </c>
      <c r="C65" s="6" t="inlineStr">
        <is>
          <t>diariodelsur.com.co</t>
        </is>
      </c>
    </row>
    <row r="66">
      <c r="A66" s="6" t="inlineStr">
        <is>
          <t>CO-2026-031</t>
        </is>
      </c>
      <c r="B66" s="10" t="inlineStr">
        <is>
          <t>https://www.semana.com/nacion/articulo/ataque-con-explosivos-aereos-contra-la-policia-en-dagua-enciende-las-alarmas-en-el-valle-del-cauca/202608/</t>
        </is>
      </c>
      <c r="C66" s="6" t="inlineStr">
        <is>
          <t>semana.com</t>
        </is>
      </c>
    </row>
    <row r="67">
      <c r="A67" s="6" t="inlineStr">
        <is>
          <t>CO-2026-032</t>
        </is>
      </c>
      <c r="B67" s="10" t="inlineStr">
        <is>
          <t>https://www.infobae.com/colombia/2026/10/23/explosion-de-un-presunto-carro-bomba-en-peaje-de-casanare-deja-cuatro-heridos-investigan-atentado/</t>
        </is>
      </c>
      <c r="C67" s="6" t="inlineStr">
        <is>
          <t>infobae.com</t>
        </is>
      </c>
    </row>
    <row r="68">
      <c r="A68" s="6" t="inlineStr">
        <is>
          <t>CO-2026-032</t>
        </is>
      </c>
      <c r="B68" s="10" t="inlineStr">
        <is>
          <t>https://www.noticiasrcn.com/colombia/artefacto-explosivo-detono-al-paso-de-patrulla-en-puerto-santander-1074715</t>
        </is>
      </c>
      <c r="C68" s="6" t="inlineStr">
        <is>
          <t>noticiasrcn.com</t>
        </is>
      </c>
    </row>
    <row r="69">
      <c r="A69" s="6" t="inlineStr">
        <is>
          <t>CO-2026-033</t>
        </is>
      </c>
      <c r="B69" s="10" t="inlineStr">
        <is>
          <t>https://www.elpais.com.co/judicial/un-infante-de-marina-murio-y-cuatro-militares-resultaron-heridos-tras-ataque-con-explosivos-en-zona-rural-de-guapi-2343.html</t>
        </is>
      </c>
      <c r="C69" s="6" t="inlineStr">
        <is>
          <t>elpais.com.co</t>
        </is>
      </c>
    </row>
    <row r="70">
      <c r="A70" s="6" t="inlineStr">
        <is>
          <t>CO-2026-033</t>
        </is>
      </c>
      <c r="B70" s="10" t="inlineStr">
        <is>
          <t>https://www.eluniversal.com.co/sucesos/2026/10/24/edwin-andres-vargas-el-infante-de-marina-que-murio-en-ataque-con-dron/</t>
        </is>
      </c>
      <c r="C70" s="6" t="inlineStr">
        <is>
          <t>eluniversal.com.co</t>
        </is>
      </c>
    </row>
    <row r="71">
      <c r="A71" s="6" t="inlineStr">
        <is>
          <t>CO-2026-034</t>
        </is>
      </c>
      <c r="B71" s="10" t="inlineStr">
        <is>
          <t>https://www.noticiasrcn.com/colombia/artefacto-explosivo-detono-al-paso-de-patrulla-en-puerto-santander-1074715</t>
        </is>
      </c>
      <c r="C71" s="6" t="inlineStr">
        <is>
          <t>noticiasrcn.com</t>
        </is>
      </c>
    </row>
    <row r="73">
      <c r="A73" s="3" t="inlineStr">
        <is>
          <t>Contexto agregado (no se suma a la base)</t>
        </is>
      </c>
    </row>
    <row r="74">
      <c r="A74" s="14" t="inlineStr">
        <is>
          <t>Fuente</t>
        </is>
      </c>
      <c r="B74" s="14" t="inlineStr">
        <is>
          <t>Cifra agregada descrita</t>
        </is>
      </c>
      <c r="C74" s="14" t="inlineStr">
        <is>
          <t>URL</t>
        </is>
      </c>
    </row>
    <row r="75">
      <c r="A75" s="8" t="inlineStr">
        <is>
          <t>Balance de la fuerza pública citado por El Tiempo (vía Teleamazonas)</t>
        </is>
      </c>
      <c r="B75" s="8" t="inlineStr">
        <is>
          <t>292 ataques con drones en 2026 con corte al 15-sep-2026, frente a 277 en todo 2025. Fuente secundaria; no se verificó el balance original.</t>
        </is>
      </c>
      <c r="C75" s="10" t="inlineStr">
        <is>
          <t>https://www.teleamazonas.com/actualidad/noticias/internacional/cronologia-violencia-colombia-atentados-seguridad-129149/</t>
        </is>
      </c>
    </row>
    <row r="76">
      <c r="A76" s="8" t="inlineStr">
        <is>
          <t>El Tiempo, citado por Infobae (2-sep-2026)</t>
        </is>
      </c>
      <c r="B76" s="8" t="inlineStr">
        <is>
          <t>Al menos 204 atentados con explosivos en 2026: 174 hasta el 30-jul y al menos 30 en agosto; al menos 75 atribuidos al ELN.</t>
        </is>
      </c>
      <c r="C76" s="10" t="inlineStr">
        <is>
          <t>https://www.infobae.com/colombia/2026/09/02/atentados-con-explosivos-en-colombia-llegan-a-204-en-2026-tras-carro-bomba-en-los-patios/</t>
        </is>
      </c>
    </row>
    <row r="77">
      <c r="A77" s="8" t="inlineStr">
        <is>
          <t>Defensoría del Pueblo, citada por Al Jazeera (18-sep-2026)</t>
        </is>
      </c>
      <c r="B77" s="8" t="inlineStr">
        <is>
          <t>Los ataques con drones contra la Fuerza Pública aumentaron 146 % entre enero y mayo de 2026 frente al mismo periodo de 2025.</t>
        </is>
      </c>
      <c r="C77" s="10" t="inlineStr">
        <is>
          <t>https://www.aljazeera.com/amp/news/2026/9/18/drone-attacks-by-colombian-armed-groups-more-than-double-in-early-2026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0" customWidth="1" min="4" max="4"/>
    <col width="70" customWidth="1" min="5" max="5"/>
  </cols>
  <sheetData>
    <row r="1">
      <c r="A1" s="5" t="inlineStr">
        <is>
          <t>Fecha</t>
        </is>
      </c>
      <c r="B1" s="5" t="inlineStr">
        <is>
          <t>Departamento</t>
        </is>
      </c>
      <c r="C1" s="5" t="inlineStr">
        <is>
          <t>Municipio</t>
        </is>
      </c>
      <c r="D1" s="5" t="inlineStr">
        <is>
          <t>Hecho reportado</t>
        </is>
      </c>
      <c r="E1" s="5" t="inlineStr">
        <is>
          <t>Justificación</t>
        </is>
      </c>
    </row>
    <row r="2">
      <c r="A2" s="8" t="inlineStr">
        <is>
          <t>2026-08-01</t>
        </is>
      </c>
      <c r="B2" s="8" t="inlineStr">
        <is>
          <t>Norte de Santander</t>
        </is>
      </c>
      <c r="C2" s="8" t="inlineStr">
        <is>
          <t>Cúcuta</t>
        </is>
      </c>
      <c r="D2" s="8" t="inlineStr">
        <is>
          <t>Carro bomba cerca del comando de Policía (11 heridos)</t>
        </is>
      </c>
      <c r="E2" s="8" t="inlineStr">
        <is>
          <t>Fuera del periodo: ocurrió antes del 7-ago-2026.</t>
        </is>
      </c>
    </row>
    <row r="3">
      <c r="A3" s="8" t="inlineStr">
        <is>
          <t>2026-08-02</t>
        </is>
      </c>
      <c r="B3" s="8" t="inlineStr">
        <is>
          <t>Huila</t>
        </is>
      </c>
      <c r="C3" s="8" t="inlineStr">
        <is>
          <t>Íquira</t>
        </is>
      </c>
      <c r="D3" s="8" t="inlineStr">
        <is>
          <t>Ataque con explosivos a una instalación policial (2 policías heridos)</t>
        </is>
      </c>
      <c r="E3" s="8" t="inlineStr">
        <is>
          <t>Fuera del periodo; solo se conoce por una mención en otra nota.</t>
        </is>
      </c>
    </row>
    <row r="4">
      <c r="A4" s="8" t="inlineStr">
        <is>
          <t>2026-09-21</t>
        </is>
      </c>
      <c r="B4" s="8" t="inlineStr">
        <is>
          <t>Magdalena</t>
        </is>
      </c>
      <c r="C4" s="8" t="inlineStr">
        <is>
          <t>Santa Marta (Guachaca)</t>
        </is>
      </c>
      <c r="D4" s="8" t="inlineStr">
        <is>
          <t>Operativo de la Fuerza Pública contra las ACSN: siete presuntos integrantes muertos y tres capturados</t>
        </is>
      </c>
      <c r="E4" s="8" t="inlineStr">
        <is>
          <t>Operación de la Fuerza Pública (combate); no es acto de violencia contra la población. Se registra solo la reacción posterior (CO-2026-011).</t>
        </is>
      </c>
    </row>
    <row r="5">
      <c r="A5" s="8" t="inlineStr">
        <is>
          <t>2026-10-06</t>
        </is>
      </c>
      <c r="B5" s="8" t="inlineStr">
        <is>
          <t>Cauca</t>
        </is>
      </c>
      <c r="C5" s="8" t="inlineStr">
        <is>
          <t>Santander de Quilichao</t>
        </is>
      </c>
      <c r="D5" s="8" t="inlineStr">
        <is>
          <t>Hallazgo de más de 400 kg de explosivo en un camión de la vía Panamericana</t>
        </is>
      </c>
      <c r="E5" s="8" t="inlineStr">
        <is>
          <t>Atentado frustrado sin detonación.</t>
        </is>
      </c>
    </row>
    <row r="6">
      <c r="A6" s="8" t="inlineStr">
        <is>
          <t>2026-10-05</t>
        </is>
      </c>
      <c r="B6" s="8" t="inlineStr">
        <is>
          <t>Caquetá</t>
        </is>
      </c>
      <c r="C6" s="8" t="inlineStr">
        <is>
          <t>Sin dato</t>
        </is>
      </c>
      <c r="D6" s="8" t="inlineStr">
        <is>
          <t>Combate con un soldado muerto y dos capturados</t>
        </is>
      </c>
      <c r="E6" s="8" t="inlineStr">
        <is>
          <t>Combate o enfrentamiento; no se documenta ataque contra la población ni acción terrorista.</t>
        </is>
      </c>
    </row>
    <row r="7">
      <c r="A7" s="8" t="inlineStr">
        <is>
          <t>2026-10-17</t>
        </is>
      </c>
      <c r="B7" s="8" t="inlineStr">
        <is>
          <t>Norte de Santander</t>
        </is>
      </c>
      <c r="C7" s="8" t="inlineStr">
        <is>
          <t>Tibú y Sardinata</t>
        </is>
      </c>
      <c r="D7" s="8" t="inlineStr">
        <is>
          <t>Combates entre el ELN y disidencias, desplazamientos y lanzamiento de explosivos desde drones cerca de población</t>
        </is>
      </c>
      <c r="E7" s="8" t="inlineStr">
        <is>
          <t>Enfrentamiento entre grupos armados; sin víctimas confirmadas ni autor del lanzamiento determinado en las fuentes.</t>
        </is>
      </c>
    </row>
    <row r="8">
      <c r="A8" s="8" t="inlineStr">
        <is>
          <t>2026-10-12</t>
        </is>
      </c>
      <c r="B8" s="8" t="inlineStr">
        <is>
          <t>Cauca</t>
        </is>
      </c>
      <c r="C8" s="8" t="inlineStr">
        <is>
          <t>El Bordo (Patía)</t>
        </is>
      </c>
      <c r="D8" s="8" t="inlineStr">
        <is>
          <t>Atentado contra un peaje</t>
        </is>
      </c>
      <c r="E8" s="8" t="inlineStr">
        <is>
          <t>Fecha y daños no verificados: solo se halló un titular sin detalles.</t>
        </is>
      </c>
    </row>
    <row r="9">
      <c r="A9" s="8" t="inlineStr">
        <is>
          <t>2026-10-12</t>
        </is>
      </c>
      <c r="B9" s="8" t="inlineStr">
        <is>
          <t>Cauca</t>
        </is>
      </c>
      <c r="C9" s="8" t="inlineStr">
        <is>
          <t>Sin dato</t>
        </is>
      </c>
      <c r="D9" s="8" t="inlineStr">
        <is>
          <t>Ataque con dos policías heridos atribuido preliminarmente a la estructura Dagoberto Ramos</t>
        </is>
      </c>
      <c r="E9" s="8" t="inlineStr">
        <is>
          <t>Pendiente: solo hay un resumen de segunda mano sin lugar ni cifras verificables.</t>
        </is>
      </c>
    </row>
    <row r="10">
      <c r="A10" s="8" t="inlineStr">
        <is>
          <t>2026-10-05</t>
        </is>
      </c>
      <c r="B10" s="8" t="inlineStr">
        <is>
          <t>Cauca</t>
        </is>
      </c>
      <c r="C10" s="8" t="inlineStr">
        <is>
          <t>Sin dato</t>
        </is>
      </c>
      <c r="D10" s="8" t="inlineStr">
        <is>
          <t>Policía o suboficial muerto en un ataque armado dentro de la semana del 5 al 10 de octubre</t>
        </is>
      </c>
      <c r="E10" s="8" t="inlineStr">
        <is>
          <t>Pendiente: fecha, lugar y cargo de la víctima no verificados (la nota original no pudo consultarse).</t>
        </is>
      </c>
    </row>
    <row r="11">
      <c r="A11" s="8" t="inlineStr">
        <is>
          <t>2026-10-16</t>
        </is>
      </c>
      <c r="B11" s="8" t="inlineStr">
        <is>
          <t>Huila</t>
        </is>
      </c>
      <c r="C11" s="8" t="inlineStr">
        <is>
          <t>Íquira</t>
        </is>
      </c>
      <c r="D11" s="8" t="inlineStr">
        <is>
          <t>Hostigamiento en el casco urbano (noche del viernes 16-oct)</t>
        </is>
      </c>
      <c r="E11" s="8" t="inlineStr">
        <is>
          <t>Pendiente: la Defensoría lo menciona sin cifras ni modalidad.</t>
        </is>
      </c>
    </row>
    <row r="12">
      <c r="A12" s="8" t="inlineStr">
        <is>
          <t>2026-10-17</t>
        </is>
      </c>
      <c r="B12" s="8" t="inlineStr">
        <is>
          <t>Nariño</t>
        </is>
      </c>
      <c r="C12" s="8" t="inlineStr">
        <is>
          <t>Linares y Los Andes</t>
        </is>
      </c>
      <c r="D12" s="8" t="inlineStr">
        <is>
          <t>Enfrentamientos armados entre el EMC (Mordisco) y las Autodefensas Unidas de Nariño con riesgo para comunidades</t>
        </is>
      </c>
      <c r="E12" s="8" t="inlineStr">
        <is>
          <t>Enfrentamiento entre grupos armados; la Defensoría no reporta ataque contra población o Fuerza Pública.</t>
        </is>
      </c>
    </row>
    <row r="13">
      <c r="A13" s="8" t="inlineStr">
        <is>
          <t>2026-08-03</t>
        </is>
      </c>
      <c r="B13" s="8" t="inlineStr">
        <is>
          <t>Antioquia</t>
        </is>
      </c>
      <c r="C13" s="8" t="inlineStr">
        <is>
          <t>Segovia</t>
        </is>
      </c>
      <c r="D13" s="8" t="inlineStr">
        <is>
          <t>Dron con explosivos contra una mina (uno o dos civiles heridos)</t>
        </is>
      </c>
      <c r="E13" s="8" t="inlineStr">
        <is>
          <t>Fuera del periodo: ocurrió antes del 7-ago-2026.</t>
        </is>
      </c>
    </row>
    <row r="14">
      <c r="A14" s="8" t="inlineStr">
        <is>
          <t>2026-10-20</t>
        </is>
      </c>
      <c r="B14" s="8" t="inlineStr">
        <is>
          <t>Arauca</t>
        </is>
      </c>
      <c r="C14" s="8" t="inlineStr">
        <is>
          <t>Tame – Arauca (Flor Amarillo)</t>
        </is>
      </c>
      <c r="D14" s="8" t="inlineStr">
        <is>
          <t>Alerta de carro bomba que retuvo al Presidente en la Brigada 18</t>
        </is>
      </c>
      <c r="E14" s="8" t="inlineStr">
        <is>
          <t>No hubo atentado: el vehículo hallado no cargaba explosivos.</t>
        </is>
      </c>
    </row>
    <row r="15">
      <c r="A15" s="8" t="inlineStr">
        <is>
          <t>2026-10-05</t>
        </is>
      </c>
      <c r="B15" s="8" t="inlineStr">
        <is>
          <t>Arauca</t>
        </is>
      </c>
      <c r="C15" s="8" t="inlineStr">
        <is>
          <t>Tame</t>
        </is>
      </c>
      <c r="D15" s="8" t="inlineStr">
        <is>
          <t>Destrucción controlada de 12 artefactos explosivos y rampas de lanzamiento del ELN</t>
        </is>
      </c>
      <c r="E15" s="8" t="inlineStr">
        <is>
          <t>Atentado frustrado sin detonación; fecha aproximada.</t>
        </is>
      </c>
    </row>
    <row r="16">
      <c r="A16" s="8" t="inlineStr">
        <is>
          <t>2026-08-31</t>
        </is>
      </c>
      <c r="B16" s="8" t="inlineStr">
        <is>
          <t>Guaviare</t>
        </is>
      </c>
      <c r="C16" s="8" t="inlineStr">
        <is>
          <t>Calamar y El Retorno</t>
        </is>
      </c>
      <c r="D16" s="8" t="inlineStr">
        <is>
          <t>Bombardeos de la Fuerza Pública contra disidencias (al menos 18 presuntos disidentes muertos) y combates entre facciones disidentes</t>
        </is>
      </c>
      <c r="E16" s="8" t="inlineStr">
        <is>
          <t>Operaciones de la Fuerza Pública y enfrentamientos entre grupos armados; no son ataques contra población ni Fuerza Pública.</t>
        </is>
      </c>
    </row>
    <row r="17">
      <c r="A17" s="8" t="inlineStr">
        <is>
          <t>2026-09-28</t>
        </is>
      </c>
      <c r="B17" s="8" t="inlineStr">
        <is>
          <t>Putumayo</t>
        </is>
      </c>
      <c r="C17" s="8" t="inlineStr">
        <is>
          <t>Frontera con Perú</t>
        </is>
      </c>
      <c r="D17" s="8" t="inlineStr">
        <is>
          <t>Combates entre la Fuerza Pública y disidencias</t>
        </is>
      </c>
      <c r="E17" s="8" t="inlineStr">
        <is>
          <t>Combate o enfrentamiento.</t>
        </is>
      </c>
    </row>
    <row r="18">
      <c r="A18" s="8" t="inlineStr">
        <is>
          <t>2026-09-04</t>
        </is>
      </c>
      <c r="B18" s="8" t="inlineStr">
        <is>
          <t>Putumayo</t>
        </is>
      </c>
      <c r="C18" s="8" t="inlineStr">
        <is>
          <t>Villagarzón (vereda Siloé)</t>
        </is>
      </c>
      <c r="D18" s="8" t="inlineStr">
        <is>
          <t>Dos militares rociados con gasolina y quemados en una asonada</t>
        </is>
      </c>
      <c r="E18" s="8" t="inlineStr">
        <is>
          <t>Pendiente: las notas halladas sugieren que el hecho es de 2025; fecha no verificada.</t>
        </is>
      </c>
    </row>
    <row r="19">
      <c r="A19" s="8" t="inlineStr">
        <is>
          <t>2024-07-04</t>
        </is>
      </c>
      <c r="B19" s="8" t="inlineStr">
        <is>
          <t>Antioquia</t>
        </is>
      </c>
      <c r="C19" s="8" t="inlineStr">
        <is>
          <t>Valdivia</t>
        </is>
      </c>
      <c r="D19" s="8" t="inlineStr">
        <is>
          <t>Seis soldados muertos por una mina</t>
        </is>
      </c>
      <c r="E19" s="8" t="inlineStr">
        <is>
          <t>Descartado: la nota es de julio de 2024, aunque la página muestra una fecha de 2026.</t>
        </is>
      </c>
    </row>
    <row r="20">
      <c r="A20" s="8" t="inlineStr">
        <is>
          <t>2026-10-15</t>
        </is>
      </c>
      <c r="B20" s="8" t="inlineStr">
        <is>
          <t>Norte de Santander</t>
        </is>
      </c>
      <c r="C20" s="8" t="inlineStr">
        <is>
          <t>El Carmen</t>
        </is>
      </c>
      <c r="D20" s="8" t="inlineStr">
        <is>
          <t>Atentado al oleoducto Caño Limón-Coveñas</t>
        </is>
      </c>
      <c r="E20" s="8" t="inlineStr">
        <is>
          <t>Descartado: la nota hallada es de agosto de 2024 aunque la página muestra una fecha de 2026.</t>
        </is>
      </c>
    </row>
    <row r="21">
      <c r="A21" s="8" t="inlineStr">
        <is>
          <t>2026-08-01</t>
        </is>
      </c>
      <c r="B21" s="8" t="inlineStr">
        <is>
          <t>Arauca</t>
        </is>
      </c>
      <c r="C21" s="8" t="inlineStr">
        <is>
          <t>Arauquita</t>
        </is>
      </c>
      <c r="D21" s="8" t="inlineStr">
        <is>
          <t>Ataque al oleoducto Caño Limón-Coveñas atribuido al Frente Domingo Laín (ELN)</t>
        </is>
      </c>
      <c r="E21" s="8" t="inlineStr">
        <is>
          <t>Pendiente: la fecha exacta del hecho no pudo verificarse.</t>
        </is>
      </c>
    </row>
    <row r="22">
      <c r="A22" s="8" t="inlineStr">
        <is>
          <t>2026-09-01</t>
        </is>
      </c>
      <c r="B22" s="8" t="inlineStr">
        <is>
          <t>Norte de Santander</t>
        </is>
      </c>
      <c r="C22" s="8" t="inlineStr">
        <is>
          <t>Tibú y El Tarra</t>
        </is>
      </c>
      <c r="D22" s="8" t="inlineStr">
        <is>
          <t>Mujer herida por un explosivo lanzado desde un dron en zona rural</t>
        </is>
      </c>
      <c r="E22" s="8" t="inlineStr">
        <is>
          <t>Pendiente: fecha y balance no verificados.</t>
        </is>
      </c>
    </row>
    <row r="23">
      <c r="A23" s="8" t="inlineStr">
        <is>
          <t>2026-09-01</t>
        </is>
      </c>
      <c r="B23" s="8" t="inlineStr">
        <is>
          <t>Cauca</t>
        </is>
      </c>
      <c r="C23" s="8" t="inlineStr">
        <is>
          <t>Sin dato</t>
        </is>
      </c>
      <c r="D23" s="8" t="inlineStr">
        <is>
          <t>Ataque con drones que dejó siete civiles heridos (El Tiempo)</t>
        </is>
      </c>
      <c r="E23" s="8" t="inlineStr">
        <is>
          <t>Fecha no verificable en la nota consultada; podría corresponder a hechos de junio en Suárez.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5" t="inlineStr">
        <is>
          <t>Tema</t>
        </is>
      </c>
      <c r="B1" s="5" t="inlineStr">
        <is>
          <t>Criterio</t>
        </is>
      </c>
    </row>
    <row r="2">
      <c r="A2" s="15" t="inlineStr">
        <is>
          <t>1. Alcance temporal y territorial</t>
        </is>
      </c>
      <c r="B2" s="8" t="inlineStr">
        <is>
          <t>Hechos ocurridos en Colombia desde el 7 de agosto de 2026 (00:00, UTC−5) hasta la fecha de corte.</t>
        </is>
      </c>
    </row>
    <row r="3">
      <c r="A3" s="15" t="inlineStr">
        <is>
          <t>2. Alcance temático</t>
        </is>
      </c>
      <c r="B3" s="8" t="inlineStr">
        <is>
          <t>Presuntos actos terroristas, atentados, ataques armados y otras acciones violentas relevantes. No se equipara el terrorismo con cualquier violencia.</t>
        </is>
      </c>
    </row>
    <row r="4">
      <c r="A4" s="15" t="inlineStr">
        <is>
          <t>3. Fuentes</t>
        </is>
      </c>
      <c r="B4" s="8" t="inlineStr">
        <is>
          <t>Fuentes abiertas: entidades oficiales, agencias y medios nacionales y regionales. Se leyó cada nota citada; las fuentes que no pudieron consultarse no se citan como leídas.</t>
        </is>
      </c>
    </row>
    <row r="5">
      <c r="A5" s="15" t="inlineStr">
        <is>
          <t>4. Inclusión</t>
        </is>
      </c>
      <c r="B5" s="8" t="inlineStr">
        <is>
          <t>Un registro por evento verificable con fecha, lugar y modalidad. Los registros con fuente única o estado preliminar se marcan como información incompleta.</t>
        </is>
      </c>
    </row>
    <row r="6">
      <c r="A6" s="15" t="inlineStr">
        <is>
          <t>5. Clasificación</t>
        </is>
      </c>
      <c r="B6" s="8" t="inlineStr">
        <is>
          <t>La clase analítica es provisional y no es calificación jurídica ni denominación oficial. Se distingue entre calificación jurídica, denominación oficial y clasificación analítica.</t>
        </is>
      </c>
    </row>
    <row r="7">
      <c r="A7" s="15" t="inlineStr">
        <is>
          <t>6. Atribución A–E</t>
        </is>
      </c>
      <c r="B7" s="8" t="inlineStr">
        <is>
          <t>A judicial · B oficial · C reivindicada · D hipótesis periodística o de terceros · E desconocida. No se infiere autoría por presencia territorial, modalidad, antecedentes o coincidencia geográfica.</t>
        </is>
      </c>
    </row>
    <row r="8">
      <c r="A8" s="15" t="inlineStr">
        <is>
          <t>7. Víctimas</t>
        </is>
      </c>
      <c r="B8" s="8" t="inlineStr">
        <is>
          <t>Cifra oficial más reciente; No se publican nombres de víctimas.</t>
        </is>
      </c>
    </row>
    <row r="9">
      <c r="A9" s="15" t="inlineStr">
        <is>
          <t>8. Coordenadas</t>
        </is>
      </c>
      <c r="B9" s="8" t="inlineStr">
        <is>
          <t>Centroide municipal aproximado (WGS84), nunca una ubicación exacta.</t>
        </is>
      </c>
    </row>
    <row r="10">
      <c r="A10" s="15" t="inlineStr">
        <is>
          <t>9. Daño económico</t>
        </is>
      </c>
      <c r="B10" s="8" t="inlineStr">
        <is>
          <t>No se asignan valores económicos sin fuente con metodología. Una recompensa no es un daño.</t>
        </is>
      </c>
    </row>
    <row r="11">
      <c r="A11" s="15" t="inlineStr">
        <is>
          <t>10. Deduplicación</t>
        </is>
      </c>
      <c r="B11" s="8" t="inlineStr">
        <is>
          <t>Un registro por evento; varios medios sobre el mismo hecho se consolidan en un solo id. Se excluyen combates, atentados frustrados, hechos fuera del periodo o del territorio y fechas no verificables.</t>
        </is>
      </c>
    </row>
    <row r="12">
      <c r="A12" s="15" t="inlineStr">
        <is>
          <t>11. Vacíos y privacidad</t>
        </is>
      </c>
      <c r="B12" s="8" t="inlineStr">
        <is>
          <t>La base es una muestra, no el universo. Las cifras agregadas oficiales van aparte y no se suman. No se publica información táctica que facilite ataques.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70" customWidth="1" min="4" max="4"/>
  </cols>
  <sheetData>
    <row r="1">
      <c r="A1" s="5" t="inlineStr">
        <is>
          <t>Campo</t>
        </is>
      </c>
      <c r="B1" s="5" t="inlineStr">
        <is>
          <t>Tipo</t>
        </is>
      </c>
      <c r="C1" s="5" t="inlineStr">
        <is>
          <t>Descripción</t>
        </is>
      </c>
      <c r="D1" s="5" t="inlineStr">
        <is>
          <t>Valores o regla</t>
        </is>
      </c>
    </row>
    <row r="2">
      <c r="A2" s="8" t="inlineStr">
        <is>
          <t>id</t>
        </is>
      </c>
      <c r="B2" s="8" t="inlineStr">
        <is>
          <t>texto</t>
        </is>
      </c>
      <c r="C2" s="8" t="inlineStr">
        <is>
          <t>Identificador consecutivo, nunca se reutiliza</t>
        </is>
      </c>
      <c r="D2" s="8" t="inlineStr">
        <is>
          <t>CO-2026-NNN</t>
        </is>
      </c>
    </row>
    <row r="3">
      <c r="A3" s="8" t="inlineStr">
        <is>
          <t>fecha</t>
        </is>
      </c>
      <c r="B3" s="8" t="inlineStr">
        <is>
          <t>fecha</t>
        </is>
      </c>
      <c r="C3" s="8" t="inlineStr">
        <is>
          <t>Fecha de ocurrencia (no de publicación)</t>
        </is>
      </c>
      <c r="D3" s="8" t="inlineStr">
        <is>
          <t>AAAA-MM-DD, desde 2026-08-07 hasta el corte</t>
        </is>
      </c>
    </row>
    <row r="4">
      <c r="A4" s="8" t="inlineStr">
        <is>
          <t>hora</t>
        </is>
      </c>
      <c r="B4" s="8" t="inlineStr">
        <is>
          <t>texto</t>
        </is>
      </c>
      <c r="C4" s="8" t="inlineStr">
        <is>
          <t>Hora o franja</t>
        </is>
      </c>
      <c r="D4" s="8" t="inlineStr">
        <is>
          <t>HH:MM, franja o 'Sin dato'</t>
        </is>
      </c>
    </row>
    <row r="5">
      <c r="A5" s="8" t="inlineStr">
        <is>
          <t>depto, mpio, lugar</t>
        </is>
      </c>
      <c r="B5" s="8" t="inlineStr">
        <is>
          <t>texto</t>
        </is>
      </c>
      <c r="C5" s="8" t="inlineStr">
        <is>
          <t>Ubicación; lugar es vereda, barrio o sector si está documentado</t>
        </is>
      </c>
      <c r="D5" s="8" t="inlineStr"/>
    </row>
    <row r="6">
      <c r="A6" s="8" t="inlineStr">
        <is>
          <t>lat, lon</t>
        </is>
      </c>
      <c r="B6" s="8" t="inlineStr">
        <is>
          <t>número</t>
        </is>
      </c>
      <c r="C6" s="8" t="inlineStr">
        <is>
          <t>Centroide municipal aproximado (WGS84)</t>
        </is>
      </c>
      <c r="D6" s="8" t="inlineStr">
        <is>
          <t>Lat −4,3 a 13,5; lon −79,1 a −66,8</t>
        </is>
      </c>
    </row>
    <row r="7">
      <c r="A7" s="8" t="inlineStr">
        <is>
          <t>prec_coord</t>
        </is>
      </c>
      <c r="B7" s="8" t="inlineStr">
        <is>
          <t>texto</t>
        </is>
      </c>
      <c r="C7" s="8" t="inlineStr">
        <is>
          <t>Precisión de la coordenada</t>
        </is>
      </c>
      <c r="D7" s="8" t="inlineStr">
        <is>
          <t>Municipal aproximada · Departamental aproximada</t>
        </is>
      </c>
    </row>
    <row r="8">
      <c r="A8" s="8" t="inlineStr">
        <is>
          <t>tipo</t>
        </is>
      </c>
      <c r="B8" s="8" t="inlineStr">
        <is>
          <t>texto</t>
        </is>
      </c>
      <c r="C8" s="8" t="inlineStr">
        <is>
          <t>Modalidad descrita por las fuentes</t>
        </is>
      </c>
      <c r="D8" s="8" t="inlineStr"/>
    </row>
    <row r="9">
      <c r="A9" s="8" t="inlineStr">
        <is>
          <t>mod</t>
        </is>
      </c>
      <c r="B9" s="8" t="inlineStr">
        <is>
          <t>texto</t>
        </is>
      </c>
      <c r="C9" s="8" t="inlineStr">
        <is>
          <t>Categoría controlada</t>
        </is>
      </c>
      <c r="D9" s="8" t="inlineStr">
        <is>
          <t>Dron con explosivos · Vehículo con explosivos · Explosivo / IED · Granada / artefacto lanzado · Paro armado · Homicidio selectivo · Ataque armado</t>
        </is>
      </c>
    </row>
    <row r="10">
      <c r="A10" s="8" t="inlineStr">
        <is>
          <t>objetivo</t>
        </is>
      </c>
      <c r="B10" s="8" t="inlineStr">
        <is>
          <t>texto</t>
        </is>
      </c>
      <c r="C10" s="8" t="inlineStr">
        <is>
          <t>Población, Fuerza Pública, infraestructura u otro</t>
        </is>
      </c>
      <c r="D10" s="8" t="inlineStr"/>
    </row>
    <row r="11">
      <c r="A11" s="8" t="inlineStr">
        <is>
          <t>clase</t>
        </is>
      </c>
      <c r="B11" s="8" t="inlineStr">
        <is>
          <t>texto</t>
        </is>
      </c>
      <c r="C11" s="8" t="inlineStr">
        <is>
          <t>Clasificación analítica provisional</t>
        </is>
      </c>
      <c r="D11" s="8" t="inlineStr"/>
    </row>
    <row r="12">
      <c r="A12" s="8" t="inlineStr">
        <is>
          <t>autor</t>
        </is>
      </c>
      <c r="B12" s="8" t="inlineStr">
        <is>
          <t>texto</t>
        </is>
      </c>
      <c r="C12" s="8" t="inlineStr">
        <is>
          <t>Actor mencionado por las fuentes</t>
        </is>
      </c>
      <c r="D12" s="8" t="inlineStr"/>
    </row>
    <row r="13">
      <c r="A13" s="8" t="inlineStr">
        <is>
          <t>grupo</t>
        </is>
      </c>
      <c r="B13" s="8" t="inlineStr">
        <is>
          <t>texto</t>
        </is>
      </c>
      <c r="C13" s="8" t="inlineStr">
        <is>
          <t>Agregado para los indicadores</t>
        </is>
      </c>
      <c r="D13" s="8" t="inlineStr">
        <is>
          <t>ELN · Disidencias FARC · Clan del Golfo / EGC · ACSN · Autor individual (capturado) · No determinado</t>
        </is>
      </c>
    </row>
    <row r="14">
      <c r="A14" s="8" t="inlineStr">
        <is>
          <t>atrib</t>
        </is>
      </c>
      <c r="B14" s="8" t="inlineStr">
        <is>
          <t>texto</t>
        </is>
      </c>
      <c r="C14" s="8" t="inlineStr">
        <is>
          <t>Tipo de atribución</t>
        </is>
      </c>
      <c r="D14" s="8" t="inlineStr">
        <is>
          <t>A judicial · B oficial · C reivindicada · D hipótesis · E desconocida</t>
        </is>
      </c>
    </row>
    <row r="15">
      <c r="A15" s="8" t="inlineStr">
        <is>
          <t>evidencia</t>
        </is>
      </c>
      <c r="B15" s="8" t="inlineStr">
        <is>
          <t>texto</t>
        </is>
      </c>
      <c r="C15" s="8" t="inlineStr">
        <is>
          <t>Fundamento público de la atribución</t>
        </is>
      </c>
      <c r="D15" s="8" t="inlineStr"/>
    </row>
    <row r="16">
      <c r="A16" s="8" t="inlineStr">
        <is>
          <t>m_civ, m_fp, h_civ, h_fp</t>
        </is>
      </c>
      <c r="B16" s="8" t="inlineStr">
        <is>
          <t>entero</t>
        </is>
      </c>
      <c r="C16" s="8" t="inlineStr">
        <is>
          <t>Muertos y heridos, civiles y Fuerza Pública; cifra oficial más reciente</t>
        </is>
      </c>
      <c r="D16" s="8" t="inlineStr">
        <is>
          <t>≥ 0</t>
        </is>
      </c>
    </row>
    <row r="17">
      <c r="A17" s="8" t="inlineStr">
        <is>
          <t>h_nota</t>
        </is>
      </c>
      <c r="B17" s="8" t="inlineStr">
        <is>
          <t>texto</t>
        </is>
      </c>
      <c r="C17" s="8" t="inlineStr">
        <is>
          <t>Precisiones sobre las víctimas</t>
        </is>
      </c>
      <c r="D17" s="8" t="inlineStr"/>
    </row>
    <row r="18">
      <c r="A18" s="8" t="inlineStr">
        <is>
          <t>danos, eco, desplaz, servicios</t>
        </is>
      </c>
      <c r="B18" s="8" t="inlineStr">
        <is>
          <t>texto</t>
        </is>
      </c>
      <c r="C18" s="8" t="inlineStr">
        <is>
          <t>Daños verificables; eco = 'No cuantificado' si no hay fuente</t>
        </is>
      </c>
      <c r="D18" s="8" t="inlineStr"/>
    </row>
    <row r="19">
      <c r="A19" s="8" t="inlineStr">
        <is>
          <t>estado</t>
        </is>
      </c>
      <c r="B19" s="8" t="inlineStr">
        <is>
          <t>texto</t>
        </is>
      </c>
      <c r="C19" s="8" t="inlineStr">
        <is>
          <t>Estado del registro</t>
        </is>
      </c>
      <c r="D19" s="8" t="inlineStr">
        <is>
          <t>Confirmado · Preliminar · En investigación</t>
        </is>
      </c>
    </row>
    <row r="20">
      <c r="A20" s="8" t="inlineStr">
        <is>
          <t>fuentes</t>
        </is>
      </c>
      <c r="B20" s="8" t="inlineStr">
        <is>
          <t>lista</t>
        </is>
      </c>
      <c r="C20" s="8" t="inlineStr">
        <is>
          <t>1 a 3 URL verificables</t>
        </is>
      </c>
      <c r="D20" s="8" t="inlineStr">
        <is>
          <t>https://</t>
        </is>
      </c>
    </row>
    <row r="21">
      <c r="A21" s="8" t="inlineStr">
        <is>
          <t>actualizacion</t>
        </is>
      </c>
      <c r="B21" s="8" t="inlineStr">
        <is>
          <t>fecha</t>
        </is>
      </c>
      <c r="C21" s="8" t="inlineStr">
        <is>
          <t>Fecha de la última verificación</t>
        </is>
      </c>
      <c r="D21" s="8" t="inlineStr"/>
    </row>
    <row r="22">
      <c r="A22" s="8" t="inlineStr">
        <is>
          <t>Total muertos / heridos / N.º fuentes</t>
        </is>
      </c>
      <c r="B22" s="8" t="inlineStr">
        <is>
          <t>fórmula</t>
        </is>
      </c>
      <c r="C22" s="8" t="inlineStr">
        <is>
          <t>Calculados en la hoja Incidentes</t>
        </is>
      </c>
      <c r="D22" s="8" t="inlineStr">
        <is>
          <t>Fórmulas: Q+R · S+T · COUNTIF(AD:AF,"?*")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2026-10-25T18:20:14Z</dcterms:created>
  <dcterms:modified xmlns:dcterms="http://purl.org/dc/terms/" xmlns:xsi="http://www.w3.org/2001/XMLSchema-instance" xsi:type="dcterms:W3CDTF">2026-10-25T18:20:14Z</dcterms:modified>
</cp:coreProperties>
</file>